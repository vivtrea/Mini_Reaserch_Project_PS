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BF1205DA-90B4-4E37-BE89-53DCE1D4A2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2.5" sheetId="1" r:id="rId1"/>
    <sheet name="task 2.6" sheetId="2" r:id="rId2"/>
    <sheet name="MultiLogRegr2" sheetId="4" r:id="rId3"/>
    <sheet name="MultiLogRegr1stWeek" sheetId="3" r:id="rId4"/>
    <sheet name="MultLogRegr1" sheetId="5" r:id="rId5"/>
  </sheets>
  <externalReferences>
    <externalReference r:id="rId6"/>
    <externalReference r:id="rId7"/>
  </externalReferences>
  <definedNames>
    <definedName name="lecid">#REF!</definedName>
    <definedName name="uni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  <c r="D5" i="5" l="1"/>
  <c r="R15" i="2" l="1"/>
  <c r="S15" i="2"/>
  <c r="K15" i="2"/>
  <c r="I15" i="2"/>
  <c r="J15" i="2" s="1"/>
  <c r="R14" i="2"/>
  <c r="S14" i="2"/>
  <c r="K14" i="2"/>
  <c r="I14" i="2"/>
  <c r="R13" i="2"/>
  <c r="S13" i="2" s="1"/>
  <c r="K13" i="2"/>
  <c r="I13" i="2"/>
  <c r="R12" i="2"/>
  <c r="S12" i="2"/>
  <c r="K12" i="2"/>
  <c r="I12" i="2"/>
  <c r="J12" i="2" s="1"/>
  <c r="L12" i="2" s="1"/>
  <c r="N12" i="2" s="1"/>
  <c r="R11" i="2"/>
  <c r="S11" i="2"/>
  <c r="K11" i="2"/>
  <c r="I11" i="2"/>
  <c r="J11" i="2" s="1"/>
  <c r="R10" i="2"/>
  <c r="S10" i="2"/>
  <c r="K10" i="2"/>
  <c r="I10" i="2"/>
  <c r="R9" i="2"/>
  <c r="S9" i="2"/>
  <c r="K9" i="2"/>
  <c r="I9" i="2"/>
  <c r="R8" i="2"/>
  <c r="S8" i="2"/>
  <c r="K8" i="2"/>
  <c r="I8" i="2"/>
  <c r="J8" i="2" s="1"/>
  <c r="L8" i="2" s="1"/>
  <c r="N8" i="2" s="1"/>
  <c r="R7" i="2"/>
  <c r="S7" i="2"/>
  <c r="K7" i="2"/>
  <c r="I7" i="2"/>
  <c r="J7" i="2" s="1"/>
  <c r="R6" i="2"/>
  <c r="S6" i="2"/>
  <c r="K6" i="2"/>
  <c r="I6" i="2"/>
  <c r="R5" i="2"/>
  <c r="S5" i="2"/>
  <c r="K5" i="2"/>
  <c r="I5" i="2"/>
  <c r="R4" i="2"/>
  <c r="S4" i="2"/>
  <c r="K4" i="2"/>
  <c r="J4" i="2"/>
  <c r="L4" i="2" s="1"/>
  <c r="N4" i="2" s="1"/>
  <c r="I4" i="2"/>
  <c r="R3" i="2"/>
  <c r="S3" i="2"/>
  <c r="O3" i="2"/>
  <c r="L3" i="2"/>
  <c r="N3" i="2" s="1"/>
  <c r="K3" i="2"/>
  <c r="J3" i="2"/>
  <c r="I3" i="2"/>
  <c r="R2" i="2"/>
  <c r="S2" i="2"/>
  <c r="K2" i="2"/>
  <c r="J2" i="2"/>
  <c r="I2" i="2"/>
  <c r="L1001" i="1"/>
  <c r="M1001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8" i="1"/>
  <c r="M958" i="1" s="1"/>
  <c r="L957" i="1"/>
  <c r="M957" i="1" s="1"/>
  <c r="L956" i="1"/>
  <c r="M956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L902" i="1"/>
  <c r="M902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M896" i="1" s="1"/>
  <c r="L895" i="1"/>
  <c r="M895" i="1" s="1"/>
  <c r="L894" i="1"/>
  <c r="M894" i="1" s="1"/>
  <c r="L893" i="1"/>
  <c r="M893" i="1" s="1"/>
  <c r="L892" i="1"/>
  <c r="M892" i="1" s="1"/>
  <c r="L891" i="1"/>
  <c r="M891" i="1" s="1"/>
  <c r="L890" i="1"/>
  <c r="M890" i="1" s="1"/>
  <c r="L889" i="1"/>
  <c r="M889" i="1" s="1"/>
  <c r="L888" i="1"/>
  <c r="M888" i="1" s="1"/>
  <c r="L887" i="1"/>
  <c r="M887" i="1" s="1"/>
  <c r="L886" i="1"/>
  <c r="M886" i="1" s="1"/>
  <c r="L885" i="1"/>
  <c r="M885" i="1" s="1"/>
  <c r="L884" i="1"/>
  <c r="M884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L870" i="1"/>
  <c r="M870" i="1" s="1"/>
  <c r="L869" i="1"/>
  <c r="M869" i="1" s="1"/>
  <c r="L868" i="1"/>
  <c r="M868" i="1" s="1"/>
  <c r="L867" i="1"/>
  <c r="M867" i="1" s="1"/>
  <c r="L866" i="1"/>
  <c r="M866" i="1" s="1"/>
  <c r="L865" i="1"/>
  <c r="M865" i="1" s="1"/>
  <c r="L864" i="1"/>
  <c r="M864" i="1" s="1"/>
  <c r="L863" i="1"/>
  <c r="M863" i="1" s="1"/>
  <c r="L862" i="1"/>
  <c r="M862" i="1" s="1"/>
  <c r="L861" i="1"/>
  <c r="M861" i="1" s="1"/>
  <c r="L860" i="1"/>
  <c r="M860" i="1" s="1"/>
  <c r="L859" i="1"/>
  <c r="M859" i="1" s="1"/>
  <c r="L858" i="1"/>
  <c r="M858" i="1" s="1"/>
  <c r="L857" i="1"/>
  <c r="M857" i="1" s="1"/>
  <c r="L856" i="1"/>
  <c r="M856" i="1" s="1"/>
  <c r="L855" i="1"/>
  <c r="M855" i="1" s="1"/>
  <c r="L854" i="1"/>
  <c r="M854" i="1" s="1"/>
  <c r="L853" i="1"/>
  <c r="M853" i="1" s="1"/>
  <c r="L852" i="1"/>
  <c r="M852" i="1" s="1"/>
  <c r="L851" i="1"/>
  <c r="M851" i="1" s="1"/>
  <c r="L850" i="1"/>
  <c r="M850" i="1" s="1"/>
  <c r="L849" i="1"/>
  <c r="M849" i="1" s="1"/>
  <c r="L848" i="1"/>
  <c r="M848" i="1" s="1"/>
  <c r="L847" i="1"/>
  <c r="M847" i="1" s="1"/>
  <c r="L846" i="1"/>
  <c r="M846" i="1" s="1"/>
  <c r="L845" i="1"/>
  <c r="M845" i="1" s="1"/>
  <c r="L844" i="1"/>
  <c r="M844" i="1" s="1"/>
  <c r="L843" i="1"/>
  <c r="M843" i="1" s="1"/>
  <c r="L842" i="1"/>
  <c r="M842" i="1" s="1"/>
  <c r="L841" i="1"/>
  <c r="M841" i="1" s="1"/>
  <c r="L840" i="1"/>
  <c r="M840" i="1" s="1"/>
  <c r="L839" i="1"/>
  <c r="M839" i="1" s="1"/>
  <c r="L838" i="1"/>
  <c r="M838" i="1" s="1"/>
  <c r="L837" i="1"/>
  <c r="M837" i="1" s="1"/>
  <c r="L836" i="1"/>
  <c r="M836" i="1" s="1"/>
  <c r="L835" i="1"/>
  <c r="M835" i="1" s="1"/>
  <c r="L834" i="1"/>
  <c r="M834" i="1" s="1"/>
  <c r="L833" i="1"/>
  <c r="M833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6" i="1"/>
  <c r="M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L811" i="1"/>
  <c r="M811" i="1" s="1"/>
  <c r="L810" i="1"/>
  <c r="M810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7" i="1"/>
  <c r="M667" i="1" s="1"/>
  <c r="L666" i="1"/>
  <c r="M666" i="1" s="1"/>
  <c r="L665" i="1"/>
  <c r="M665" i="1" s="1"/>
  <c r="L664" i="1"/>
  <c r="M664" i="1" s="1"/>
  <c r="L663" i="1"/>
  <c r="M663" i="1" s="1"/>
  <c r="L662" i="1"/>
  <c r="M662" i="1" s="1"/>
  <c r="L661" i="1"/>
  <c r="M661" i="1" s="1"/>
  <c r="L660" i="1"/>
  <c r="M660" i="1" s="1"/>
  <c r="L659" i="1"/>
  <c r="M659" i="1" s="1"/>
  <c r="L658" i="1"/>
  <c r="M658" i="1" s="1"/>
  <c r="L657" i="1"/>
  <c r="M657" i="1" s="1"/>
  <c r="L656" i="1"/>
  <c r="M656" i="1" s="1"/>
  <c r="L655" i="1"/>
  <c r="M655" i="1" s="1"/>
  <c r="L654" i="1"/>
  <c r="M654" i="1" s="1"/>
  <c r="L653" i="1"/>
  <c r="M653" i="1" s="1"/>
  <c r="L652" i="1"/>
  <c r="M652" i="1" s="1"/>
  <c r="L651" i="1"/>
  <c r="M651" i="1" s="1"/>
  <c r="L650" i="1"/>
  <c r="M650" i="1" s="1"/>
  <c r="L649" i="1"/>
  <c r="M649" i="1" s="1"/>
  <c r="L648" i="1"/>
  <c r="M648" i="1" s="1"/>
  <c r="L647" i="1"/>
  <c r="M647" i="1" s="1"/>
  <c r="L646" i="1"/>
  <c r="M646" i="1" s="1"/>
  <c r="L645" i="1"/>
  <c r="M645" i="1" s="1"/>
  <c r="L644" i="1"/>
  <c r="M644" i="1" s="1"/>
  <c r="L643" i="1"/>
  <c r="M643" i="1" s="1"/>
  <c r="L642" i="1"/>
  <c r="M642" i="1" s="1"/>
  <c r="L641" i="1"/>
  <c r="M641" i="1" s="1"/>
  <c r="L640" i="1"/>
  <c r="M640" i="1" s="1"/>
  <c r="L639" i="1"/>
  <c r="M639" i="1" s="1"/>
  <c r="L638" i="1"/>
  <c r="M638" i="1" s="1"/>
  <c r="L637" i="1"/>
  <c r="M637" i="1" s="1"/>
  <c r="L636" i="1"/>
  <c r="M636" i="1" s="1"/>
  <c r="L635" i="1"/>
  <c r="M635" i="1" s="1"/>
  <c r="L634" i="1"/>
  <c r="M634" i="1" s="1"/>
  <c r="L633" i="1"/>
  <c r="M633" i="1" s="1"/>
  <c r="L632" i="1"/>
  <c r="M632" i="1" s="1"/>
  <c r="L631" i="1"/>
  <c r="M631" i="1" s="1"/>
  <c r="L630" i="1"/>
  <c r="M630" i="1" s="1"/>
  <c r="L629" i="1"/>
  <c r="M629" i="1" s="1"/>
  <c r="L628" i="1"/>
  <c r="M628" i="1" s="1"/>
  <c r="L627" i="1"/>
  <c r="M627" i="1" s="1"/>
  <c r="L626" i="1"/>
  <c r="M626" i="1" s="1"/>
  <c r="L625" i="1"/>
  <c r="M625" i="1" s="1"/>
  <c r="L624" i="1"/>
  <c r="M624" i="1" s="1"/>
  <c r="L623" i="1"/>
  <c r="M623" i="1" s="1"/>
  <c r="L622" i="1"/>
  <c r="M622" i="1" s="1"/>
  <c r="L621" i="1"/>
  <c r="M621" i="1" s="1"/>
  <c r="L620" i="1"/>
  <c r="M620" i="1" s="1"/>
  <c r="L619" i="1"/>
  <c r="M619" i="1" s="1"/>
  <c r="L618" i="1"/>
  <c r="M618" i="1" s="1"/>
  <c r="L617" i="1"/>
  <c r="M617" i="1" s="1"/>
  <c r="L616" i="1"/>
  <c r="M616" i="1" s="1"/>
  <c r="L615" i="1"/>
  <c r="M615" i="1" s="1"/>
  <c r="L614" i="1"/>
  <c r="M614" i="1" s="1"/>
  <c r="L613" i="1"/>
  <c r="M613" i="1" s="1"/>
  <c r="L612" i="1"/>
  <c r="M612" i="1" s="1"/>
  <c r="L611" i="1"/>
  <c r="M611" i="1" s="1"/>
  <c r="L610" i="1"/>
  <c r="M610" i="1" s="1"/>
  <c r="L609" i="1"/>
  <c r="M609" i="1" s="1"/>
  <c r="L608" i="1"/>
  <c r="M608" i="1" s="1"/>
  <c r="L607" i="1"/>
  <c r="M607" i="1" s="1"/>
  <c r="L606" i="1"/>
  <c r="M606" i="1" s="1"/>
  <c r="L605" i="1"/>
  <c r="M605" i="1" s="1"/>
  <c r="L604" i="1"/>
  <c r="M604" i="1" s="1"/>
  <c r="L603" i="1"/>
  <c r="M603" i="1" s="1"/>
  <c r="L602" i="1"/>
  <c r="M602" i="1" s="1"/>
  <c r="L601" i="1"/>
  <c r="M601" i="1" s="1"/>
  <c r="L600" i="1"/>
  <c r="M600" i="1" s="1"/>
  <c r="L599" i="1"/>
  <c r="M599" i="1" s="1"/>
  <c r="L598" i="1"/>
  <c r="M598" i="1" s="1"/>
  <c r="L597" i="1"/>
  <c r="M597" i="1" s="1"/>
  <c r="L596" i="1"/>
  <c r="M596" i="1" s="1"/>
  <c r="L595" i="1"/>
  <c r="M595" i="1" s="1"/>
  <c r="L594" i="1"/>
  <c r="M594" i="1" s="1"/>
  <c r="L593" i="1"/>
  <c r="M593" i="1" s="1"/>
  <c r="L592" i="1"/>
  <c r="M592" i="1" s="1"/>
  <c r="L591" i="1"/>
  <c r="M591" i="1" s="1"/>
  <c r="L590" i="1"/>
  <c r="M590" i="1" s="1"/>
  <c r="L589" i="1"/>
  <c r="M589" i="1" s="1"/>
  <c r="L588" i="1"/>
  <c r="M588" i="1" s="1"/>
  <c r="L587" i="1"/>
  <c r="M587" i="1" s="1"/>
  <c r="L586" i="1"/>
  <c r="M586" i="1" s="1"/>
  <c r="L585" i="1"/>
  <c r="M585" i="1" s="1"/>
  <c r="L584" i="1"/>
  <c r="M584" i="1" s="1"/>
  <c r="L583" i="1"/>
  <c r="M583" i="1" s="1"/>
  <c r="L582" i="1"/>
  <c r="M582" i="1" s="1"/>
  <c r="L581" i="1"/>
  <c r="M581" i="1" s="1"/>
  <c r="L580" i="1"/>
  <c r="M580" i="1" s="1"/>
  <c r="L579" i="1"/>
  <c r="M579" i="1" s="1"/>
  <c r="L578" i="1"/>
  <c r="M578" i="1" s="1"/>
  <c r="L577" i="1"/>
  <c r="M577" i="1" s="1"/>
  <c r="L576" i="1"/>
  <c r="M576" i="1" s="1"/>
  <c r="L575" i="1"/>
  <c r="M575" i="1" s="1"/>
  <c r="L574" i="1"/>
  <c r="M574" i="1" s="1"/>
  <c r="L573" i="1"/>
  <c r="M573" i="1" s="1"/>
  <c r="L572" i="1"/>
  <c r="M572" i="1" s="1"/>
  <c r="L571" i="1"/>
  <c r="M571" i="1" s="1"/>
  <c r="L570" i="1"/>
  <c r="M570" i="1" s="1"/>
  <c r="L569" i="1"/>
  <c r="M569" i="1" s="1"/>
  <c r="L568" i="1"/>
  <c r="M568" i="1" s="1"/>
  <c r="L567" i="1"/>
  <c r="M567" i="1" s="1"/>
  <c r="L566" i="1"/>
  <c r="M566" i="1" s="1"/>
  <c r="L565" i="1"/>
  <c r="M565" i="1" s="1"/>
  <c r="L564" i="1"/>
  <c r="M564" i="1" s="1"/>
  <c r="L563" i="1"/>
  <c r="M563" i="1" s="1"/>
  <c r="L562" i="1"/>
  <c r="M562" i="1" s="1"/>
  <c r="L561" i="1"/>
  <c r="M561" i="1" s="1"/>
  <c r="L560" i="1"/>
  <c r="M560" i="1" s="1"/>
  <c r="L559" i="1"/>
  <c r="M559" i="1" s="1"/>
  <c r="L558" i="1"/>
  <c r="M558" i="1" s="1"/>
  <c r="L557" i="1"/>
  <c r="M557" i="1" s="1"/>
  <c r="L556" i="1"/>
  <c r="M556" i="1" s="1"/>
  <c r="L555" i="1"/>
  <c r="M555" i="1" s="1"/>
  <c r="L554" i="1"/>
  <c r="M554" i="1" s="1"/>
  <c r="L553" i="1"/>
  <c r="M553" i="1" s="1"/>
  <c r="L552" i="1"/>
  <c r="M552" i="1" s="1"/>
  <c r="L551" i="1"/>
  <c r="M551" i="1" s="1"/>
  <c r="L550" i="1"/>
  <c r="M550" i="1" s="1"/>
  <c r="L549" i="1"/>
  <c r="M549" i="1" s="1"/>
  <c r="L548" i="1"/>
  <c r="M548" i="1" s="1"/>
  <c r="L547" i="1"/>
  <c r="M547" i="1" s="1"/>
  <c r="L546" i="1"/>
  <c r="M546" i="1" s="1"/>
  <c r="L545" i="1"/>
  <c r="M545" i="1" s="1"/>
  <c r="L544" i="1"/>
  <c r="M544" i="1" s="1"/>
  <c r="L543" i="1"/>
  <c r="M543" i="1" s="1"/>
  <c r="L542" i="1"/>
  <c r="M542" i="1" s="1"/>
  <c r="L541" i="1"/>
  <c r="M541" i="1" s="1"/>
  <c r="L540" i="1"/>
  <c r="M540" i="1" s="1"/>
  <c r="L539" i="1"/>
  <c r="M539" i="1" s="1"/>
  <c r="L538" i="1"/>
  <c r="M538" i="1" s="1"/>
  <c r="L537" i="1"/>
  <c r="M537" i="1" s="1"/>
  <c r="L536" i="1"/>
  <c r="M536" i="1" s="1"/>
  <c r="L535" i="1"/>
  <c r="M535" i="1" s="1"/>
  <c r="L534" i="1"/>
  <c r="M534" i="1" s="1"/>
  <c r="L533" i="1"/>
  <c r="M533" i="1" s="1"/>
  <c r="L532" i="1"/>
  <c r="M532" i="1" s="1"/>
  <c r="L531" i="1"/>
  <c r="M531" i="1" s="1"/>
  <c r="L530" i="1"/>
  <c r="M530" i="1" s="1"/>
  <c r="L529" i="1"/>
  <c r="M529" i="1" s="1"/>
  <c r="L528" i="1"/>
  <c r="M528" i="1" s="1"/>
  <c r="L527" i="1"/>
  <c r="M527" i="1" s="1"/>
  <c r="L526" i="1"/>
  <c r="M526" i="1" s="1"/>
  <c r="L525" i="1"/>
  <c r="M525" i="1" s="1"/>
  <c r="L524" i="1"/>
  <c r="M524" i="1" s="1"/>
  <c r="L523" i="1"/>
  <c r="M523" i="1" s="1"/>
  <c r="L522" i="1"/>
  <c r="M522" i="1" s="1"/>
  <c r="L521" i="1"/>
  <c r="M521" i="1" s="1"/>
  <c r="L520" i="1"/>
  <c r="M520" i="1" s="1"/>
  <c r="L519" i="1"/>
  <c r="M519" i="1" s="1"/>
  <c r="L518" i="1"/>
  <c r="M518" i="1" s="1"/>
  <c r="L517" i="1"/>
  <c r="M517" i="1" s="1"/>
  <c r="L516" i="1"/>
  <c r="M516" i="1" s="1"/>
  <c r="L515" i="1"/>
  <c r="M515" i="1" s="1"/>
  <c r="L514" i="1"/>
  <c r="M514" i="1" s="1"/>
  <c r="L513" i="1"/>
  <c r="M513" i="1" s="1"/>
  <c r="L512" i="1"/>
  <c r="M512" i="1" s="1"/>
  <c r="L511" i="1"/>
  <c r="M511" i="1" s="1"/>
  <c r="L510" i="1"/>
  <c r="M510" i="1" s="1"/>
  <c r="L509" i="1"/>
  <c r="M509" i="1" s="1"/>
  <c r="L508" i="1"/>
  <c r="M508" i="1" s="1"/>
  <c r="L507" i="1"/>
  <c r="M507" i="1" s="1"/>
  <c r="L506" i="1"/>
  <c r="M506" i="1" s="1"/>
  <c r="L505" i="1"/>
  <c r="M505" i="1" s="1"/>
  <c r="L504" i="1"/>
  <c r="M504" i="1" s="1"/>
  <c r="L503" i="1"/>
  <c r="M503" i="1" s="1"/>
  <c r="L502" i="1"/>
  <c r="M502" i="1" s="1"/>
  <c r="L501" i="1"/>
  <c r="M501" i="1" s="1"/>
  <c r="L500" i="1"/>
  <c r="M500" i="1" s="1"/>
  <c r="L499" i="1"/>
  <c r="M499" i="1" s="1"/>
  <c r="L498" i="1"/>
  <c r="M498" i="1" s="1"/>
  <c r="L497" i="1"/>
  <c r="M497" i="1" s="1"/>
  <c r="L496" i="1"/>
  <c r="M496" i="1" s="1"/>
  <c r="L495" i="1"/>
  <c r="M495" i="1" s="1"/>
  <c r="L494" i="1"/>
  <c r="M494" i="1" s="1"/>
  <c r="L493" i="1"/>
  <c r="M493" i="1" s="1"/>
  <c r="L492" i="1"/>
  <c r="M492" i="1" s="1"/>
  <c r="L491" i="1"/>
  <c r="M491" i="1" s="1"/>
  <c r="L490" i="1"/>
  <c r="M490" i="1" s="1"/>
  <c r="L489" i="1"/>
  <c r="M489" i="1" s="1"/>
  <c r="L488" i="1"/>
  <c r="M488" i="1" s="1"/>
  <c r="L487" i="1"/>
  <c r="M487" i="1" s="1"/>
  <c r="L486" i="1"/>
  <c r="M486" i="1" s="1"/>
  <c r="L485" i="1"/>
  <c r="M485" i="1" s="1"/>
  <c r="L484" i="1"/>
  <c r="M484" i="1" s="1"/>
  <c r="L483" i="1"/>
  <c r="M483" i="1" s="1"/>
  <c r="L482" i="1"/>
  <c r="M482" i="1" s="1"/>
  <c r="L481" i="1"/>
  <c r="M481" i="1" s="1"/>
  <c r="L480" i="1"/>
  <c r="M480" i="1" s="1"/>
  <c r="L479" i="1"/>
  <c r="M479" i="1" s="1"/>
  <c r="L478" i="1"/>
  <c r="M478" i="1" s="1"/>
  <c r="L477" i="1"/>
  <c r="M477" i="1" s="1"/>
  <c r="L476" i="1"/>
  <c r="M476" i="1" s="1"/>
  <c r="L475" i="1"/>
  <c r="M475" i="1" s="1"/>
  <c r="L474" i="1"/>
  <c r="M474" i="1" s="1"/>
  <c r="L473" i="1"/>
  <c r="M473" i="1" s="1"/>
  <c r="L472" i="1"/>
  <c r="M472" i="1" s="1"/>
  <c r="L471" i="1"/>
  <c r="M471" i="1" s="1"/>
  <c r="L470" i="1"/>
  <c r="M470" i="1" s="1"/>
  <c r="L469" i="1"/>
  <c r="M469" i="1" s="1"/>
  <c r="L468" i="1"/>
  <c r="M468" i="1" s="1"/>
  <c r="L467" i="1"/>
  <c r="M467" i="1" s="1"/>
  <c r="L466" i="1"/>
  <c r="M466" i="1" s="1"/>
  <c r="L465" i="1"/>
  <c r="M465" i="1" s="1"/>
  <c r="L464" i="1"/>
  <c r="M464" i="1" s="1"/>
  <c r="L463" i="1"/>
  <c r="M463" i="1" s="1"/>
  <c r="L462" i="1"/>
  <c r="M462" i="1" s="1"/>
  <c r="L461" i="1"/>
  <c r="M461" i="1" s="1"/>
  <c r="L460" i="1"/>
  <c r="M460" i="1" s="1"/>
  <c r="L459" i="1"/>
  <c r="M459" i="1" s="1"/>
  <c r="L458" i="1"/>
  <c r="M458" i="1" s="1"/>
  <c r="L457" i="1"/>
  <c r="M457" i="1" s="1"/>
  <c r="L456" i="1"/>
  <c r="M456" i="1" s="1"/>
  <c r="L455" i="1"/>
  <c r="M455" i="1" s="1"/>
  <c r="L454" i="1"/>
  <c r="M454" i="1" s="1"/>
  <c r="L453" i="1"/>
  <c r="M453" i="1" s="1"/>
  <c r="L452" i="1"/>
  <c r="M452" i="1" s="1"/>
  <c r="L451" i="1"/>
  <c r="M451" i="1" s="1"/>
  <c r="L450" i="1"/>
  <c r="M450" i="1" s="1"/>
  <c r="L449" i="1"/>
  <c r="M449" i="1" s="1"/>
  <c r="L448" i="1"/>
  <c r="M448" i="1" s="1"/>
  <c r="L447" i="1"/>
  <c r="M447" i="1" s="1"/>
  <c r="L446" i="1"/>
  <c r="M446" i="1" s="1"/>
  <c r="L445" i="1"/>
  <c r="M445" i="1" s="1"/>
  <c r="L444" i="1"/>
  <c r="M444" i="1" s="1"/>
  <c r="L443" i="1"/>
  <c r="M443" i="1" s="1"/>
  <c r="L442" i="1"/>
  <c r="M442" i="1" s="1"/>
  <c r="L441" i="1"/>
  <c r="M441" i="1" s="1"/>
  <c r="L440" i="1"/>
  <c r="M440" i="1" s="1"/>
  <c r="L439" i="1"/>
  <c r="M439" i="1" s="1"/>
  <c r="L438" i="1"/>
  <c r="M438" i="1" s="1"/>
  <c r="L437" i="1"/>
  <c r="M437" i="1" s="1"/>
  <c r="L436" i="1"/>
  <c r="M436" i="1" s="1"/>
  <c r="L435" i="1"/>
  <c r="M435" i="1" s="1"/>
  <c r="L434" i="1"/>
  <c r="M434" i="1" s="1"/>
  <c r="L433" i="1"/>
  <c r="M433" i="1" s="1"/>
  <c r="L432" i="1"/>
  <c r="M432" i="1" s="1"/>
  <c r="L431" i="1"/>
  <c r="M431" i="1" s="1"/>
  <c r="L430" i="1"/>
  <c r="M430" i="1" s="1"/>
  <c r="L429" i="1"/>
  <c r="M429" i="1" s="1"/>
  <c r="L428" i="1"/>
  <c r="M428" i="1" s="1"/>
  <c r="L427" i="1"/>
  <c r="M427" i="1" s="1"/>
  <c r="L426" i="1"/>
  <c r="M426" i="1" s="1"/>
  <c r="L425" i="1"/>
  <c r="M425" i="1" s="1"/>
  <c r="L424" i="1"/>
  <c r="M424" i="1" s="1"/>
  <c r="L423" i="1"/>
  <c r="M423" i="1" s="1"/>
  <c r="L422" i="1"/>
  <c r="M422" i="1" s="1"/>
  <c r="L421" i="1"/>
  <c r="M421" i="1" s="1"/>
  <c r="L420" i="1"/>
  <c r="M420" i="1" s="1"/>
  <c r="L419" i="1"/>
  <c r="M419" i="1" s="1"/>
  <c r="L418" i="1"/>
  <c r="M418" i="1" s="1"/>
  <c r="L417" i="1"/>
  <c r="M417" i="1" s="1"/>
  <c r="L416" i="1"/>
  <c r="M416" i="1" s="1"/>
  <c r="L415" i="1"/>
  <c r="M415" i="1" s="1"/>
  <c r="L414" i="1"/>
  <c r="M414" i="1" s="1"/>
  <c r="L413" i="1"/>
  <c r="M413" i="1" s="1"/>
  <c r="L412" i="1"/>
  <c r="M412" i="1" s="1"/>
  <c r="L411" i="1"/>
  <c r="M411" i="1" s="1"/>
  <c r="L410" i="1"/>
  <c r="M410" i="1" s="1"/>
  <c r="L409" i="1"/>
  <c r="M409" i="1" s="1"/>
  <c r="L408" i="1"/>
  <c r="M408" i="1" s="1"/>
  <c r="L407" i="1"/>
  <c r="M407" i="1" s="1"/>
  <c r="L406" i="1"/>
  <c r="M406" i="1" s="1"/>
  <c r="L405" i="1"/>
  <c r="M405" i="1" s="1"/>
  <c r="L404" i="1"/>
  <c r="M404" i="1" s="1"/>
  <c r="L403" i="1"/>
  <c r="M403" i="1" s="1"/>
  <c r="L402" i="1"/>
  <c r="M402" i="1" s="1"/>
  <c r="L401" i="1"/>
  <c r="M401" i="1" s="1"/>
  <c r="L400" i="1"/>
  <c r="M400" i="1" s="1"/>
  <c r="L399" i="1"/>
  <c r="M399" i="1" s="1"/>
  <c r="L398" i="1"/>
  <c r="M398" i="1" s="1"/>
  <c r="L397" i="1"/>
  <c r="M397" i="1" s="1"/>
  <c r="L396" i="1"/>
  <c r="M396" i="1" s="1"/>
  <c r="L395" i="1"/>
  <c r="M395" i="1" s="1"/>
  <c r="L394" i="1"/>
  <c r="M394" i="1" s="1"/>
  <c r="L393" i="1"/>
  <c r="M393" i="1" s="1"/>
  <c r="L392" i="1"/>
  <c r="M392" i="1" s="1"/>
  <c r="L391" i="1"/>
  <c r="M391" i="1" s="1"/>
  <c r="L390" i="1"/>
  <c r="M390" i="1" s="1"/>
  <c r="L389" i="1"/>
  <c r="M389" i="1" s="1"/>
  <c r="L388" i="1"/>
  <c r="M388" i="1" s="1"/>
  <c r="L387" i="1"/>
  <c r="M387" i="1" s="1"/>
  <c r="L386" i="1"/>
  <c r="M386" i="1" s="1"/>
  <c r="L385" i="1"/>
  <c r="M385" i="1" s="1"/>
  <c r="L384" i="1"/>
  <c r="M384" i="1" s="1"/>
  <c r="L383" i="1"/>
  <c r="M383" i="1" s="1"/>
  <c r="L382" i="1"/>
  <c r="M382" i="1" s="1"/>
  <c r="L381" i="1"/>
  <c r="M381" i="1" s="1"/>
  <c r="L380" i="1"/>
  <c r="M380" i="1" s="1"/>
  <c r="L379" i="1"/>
  <c r="M379" i="1" s="1"/>
  <c r="L378" i="1"/>
  <c r="M378" i="1" s="1"/>
  <c r="L377" i="1"/>
  <c r="M377" i="1" s="1"/>
  <c r="L376" i="1"/>
  <c r="M376" i="1" s="1"/>
  <c r="L375" i="1"/>
  <c r="M375" i="1" s="1"/>
  <c r="L374" i="1"/>
  <c r="M374" i="1" s="1"/>
  <c r="L373" i="1"/>
  <c r="M373" i="1" s="1"/>
  <c r="L372" i="1"/>
  <c r="M372" i="1" s="1"/>
  <c r="L371" i="1"/>
  <c r="M371" i="1" s="1"/>
  <c r="L370" i="1"/>
  <c r="M370" i="1" s="1"/>
  <c r="L369" i="1"/>
  <c r="M369" i="1" s="1"/>
  <c r="L368" i="1"/>
  <c r="M368" i="1" s="1"/>
  <c r="L367" i="1"/>
  <c r="M367" i="1" s="1"/>
  <c r="L366" i="1"/>
  <c r="M366" i="1" s="1"/>
  <c r="L365" i="1"/>
  <c r="M365" i="1" s="1"/>
  <c r="L364" i="1"/>
  <c r="M364" i="1" s="1"/>
  <c r="L363" i="1"/>
  <c r="M363" i="1" s="1"/>
  <c r="L362" i="1"/>
  <c r="M362" i="1" s="1"/>
  <c r="L361" i="1"/>
  <c r="M361" i="1" s="1"/>
  <c r="L360" i="1"/>
  <c r="M360" i="1" s="1"/>
  <c r="L359" i="1"/>
  <c r="M359" i="1" s="1"/>
  <c r="L358" i="1"/>
  <c r="M358" i="1" s="1"/>
  <c r="L357" i="1"/>
  <c r="M357" i="1" s="1"/>
  <c r="L356" i="1"/>
  <c r="M356" i="1" s="1"/>
  <c r="L355" i="1"/>
  <c r="M355" i="1" s="1"/>
  <c r="L354" i="1"/>
  <c r="M354" i="1" s="1"/>
  <c r="L353" i="1"/>
  <c r="M353" i="1" s="1"/>
  <c r="L352" i="1"/>
  <c r="M352" i="1" s="1"/>
  <c r="L351" i="1"/>
  <c r="M351" i="1" s="1"/>
  <c r="L350" i="1"/>
  <c r="M350" i="1" s="1"/>
  <c r="L349" i="1"/>
  <c r="M349" i="1" s="1"/>
  <c r="L348" i="1"/>
  <c r="M348" i="1" s="1"/>
  <c r="L347" i="1"/>
  <c r="M347" i="1" s="1"/>
  <c r="L346" i="1"/>
  <c r="M346" i="1" s="1"/>
  <c r="L345" i="1"/>
  <c r="M345" i="1" s="1"/>
  <c r="L344" i="1"/>
  <c r="M344" i="1" s="1"/>
  <c r="L343" i="1"/>
  <c r="M343" i="1" s="1"/>
  <c r="L342" i="1"/>
  <c r="M342" i="1" s="1"/>
  <c r="L341" i="1"/>
  <c r="M341" i="1" s="1"/>
  <c r="L340" i="1"/>
  <c r="M340" i="1" s="1"/>
  <c r="L339" i="1"/>
  <c r="M339" i="1" s="1"/>
  <c r="L338" i="1"/>
  <c r="M338" i="1" s="1"/>
  <c r="L337" i="1"/>
  <c r="M337" i="1" s="1"/>
  <c r="L336" i="1"/>
  <c r="M336" i="1" s="1"/>
  <c r="L335" i="1"/>
  <c r="M335" i="1" s="1"/>
  <c r="L334" i="1"/>
  <c r="M334" i="1" s="1"/>
  <c r="L333" i="1"/>
  <c r="M333" i="1" s="1"/>
  <c r="L332" i="1"/>
  <c r="M332" i="1" s="1"/>
  <c r="L331" i="1"/>
  <c r="M331" i="1" s="1"/>
  <c r="L330" i="1"/>
  <c r="M330" i="1" s="1"/>
  <c r="L329" i="1"/>
  <c r="M329" i="1" s="1"/>
  <c r="L328" i="1"/>
  <c r="M328" i="1" s="1"/>
  <c r="L327" i="1"/>
  <c r="M327" i="1" s="1"/>
  <c r="L326" i="1"/>
  <c r="M326" i="1" s="1"/>
  <c r="L325" i="1"/>
  <c r="M325" i="1" s="1"/>
  <c r="L324" i="1"/>
  <c r="M324" i="1" s="1"/>
  <c r="L323" i="1"/>
  <c r="M323" i="1" s="1"/>
  <c r="L322" i="1"/>
  <c r="M322" i="1" s="1"/>
  <c r="L321" i="1"/>
  <c r="M321" i="1" s="1"/>
  <c r="L320" i="1"/>
  <c r="M320" i="1" s="1"/>
  <c r="L319" i="1"/>
  <c r="M319" i="1" s="1"/>
  <c r="L318" i="1"/>
  <c r="M318" i="1" s="1"/>
  <c r="L317" i="1"/>
  <c r="M317" i="1" s="1"/>
  <c r="L316" i="1"/>
  <c r="M316" i="1" s="1"/>
  <c r="L315" i="1"/>
  <c r="M315" i="1" s="1"/>
  <c r="L314" i="1"/>
  <c r="M314" i="1" s="1"/>
  <c r="L313" i="1"/>
  <c r="M313" i="1" s="1"/>
  <c r="L312" i="1"/>
  <c r="M312" i="1" s="1"/>
  <c r="L311" i="1"/>
  <c r="M311" i="1" s="1"/>
  <c r="L310" i="1"/>
  <c r="M310" i="1" s="1"/>
  <c r="L309" i="1"/>
  <c r="M309" i="1" s="1"/>
  <c r="L308" i="1"/>
  <c r="M308" i="1" s="1"/>
  <c r="L307" i="1"/>
  <c r="M307" i="1" s="1"/>
  <c r="L306" i="1"/>
  <c r="M306" i="1" s="1"/>
  <c r="L305" i="1"/>
  <c r="M305" i="1" s="1"/>
  <c r="L304" i="1"/>
  <c r="M304" i="1" s="1"/>
  <c r="L303" i="1"/>
  <c r="M303" i="1" s="1"/>
  <c r="L302" i="1"/>
  <c r="M302" i="1" s="1"/>
  <c r="L301" i="1"/>
  <c r="M301" i="1" s="1"/>
  <c r="L300" i="1"/>
  <c r="M300" i="1" s="1"/>
  <c r="L299" i="1"/>
  <c r="M299" i="1" s="1"/>
  <c r="L298" i="1"/>
  <c r="M298" i="1" s="1"/>
  <c r="L297" i="1"/>
  <c r="M297" i="1" s="1"/>
  <c r="L296" i="1"/>
  <c r="M296" i="1" s="1"/>
  <c r="L295" i="1"/>
  <c r="M295" i="1" s="1"/>
  <c r="L294" i="1"/>
  <c r="M294" i="1" s="1"/>
  <c r="L293" i="1"/>
  <c r="M293" i="1" s="1"/>
  <c r="L292" i="1"/>
  <c r="M292" i="1" s="1"/>
  <c r="L291" i="1"/>
  <c r="M291" i="1" s="1"/>
  <c r="L290" i="1"/>
  <c r="M290" i="1" s="1"/>
  <c r="L289" i="1"/>
  <c r="M289" i="1" s="1"/>
  <c r="L288" i="1"/>
  <c r="M288" i="1" s="1"/>
  <c r="L287" i="1"/>
  <c r="M287" i="1" s="1"/>
  <c r="L286" i="1"/>
  <c r="M286" i="1" s="1"/>
  <c r="L285" i="1"/>
  <c r="M285" i="1" s="1"/>
  <c r="L284" i="1"/>
  <c r="M284" i="1" s="1"/>
  <c r="L283" i="1"/>
  <c r="M283" i="1" s="1"/>
  <c r="L282" i="1"/>
  <c r="M282" i="1" s="1"/>
  <c r="L281" i="1"/>
  <c r="M281" i="1" s="1"/>
  <c r="L280" i="1"/>
  <c r="M280" i="1" s="1"/>
  <c r="L279" i="1"/>
  <c r="M279" i="1" s="1"/>
  <c r="L278" i="1"/>
  <c r="M278" i="1" s="1"/>
  <c r="L277" i="1"/>
  <c r="M277" i="1" s="1"/>
  <c r="L276" i="1"/>
  <c r="M276" i="1" s="1"/>
  <c r="L275" i="1"/>
  <c r="M275" i="1" s="1"/>
  <c r="L274" i="1"/>
  <c r="M274" i="1" s="1"/>
  <c r="L273" i="1"/>
  <c r="M273" i="1" s="1"/>
  <c r="L272" i="1"/>
  <c r="M272" i="1" s="1"/>
  <c r="L271" i="1"/>
  <c r="M271" i="1" s="1"/>
  <c r="L270" i="1"/>
  <c r="M270" i="1" s="1"/>
  <c r="L269" i="1"/>
  <c r="M269" i="1" s="1"/>
  <c r="L268" i="1"/>
  <c r="M268" i="1" s="1"/>
  <c r="L267" i="1"/>
  <c r="M267" i="1" s="1"/>
  <c r="L266" i="1"/>
  <c r="M266" i="1" s="1"/>
  <c r="L265" i="1"/>
  <c r="M265" i="1" s="1"/>
  <c r="L264" i="1"/>
  <c r="M264" i="1" s="1"/>
  <c r="L263" i="1"/>
  <c r="M263" i="1" s="1"/>
  <c r="L262" i="1"/>
  <c r="M262" i="1" s="1"/>
  <c r="L261" i="1"/>
  <c r="M261" i="1" s="1"/>
  <c r="L260" i="1"/>
  <c r="M260" i="1" s="1"/>
  <c r="L259" i="1"/>
  <c r="M259" i="1" s="1"/>
  <c r="L258" i="1"/>
  <c r="M258" i="1" s="1"/>
  <c r="L257" i="1"/>
  <c r="M257" i="1" s="1"/>
  <c r="L256" i="1"/>
  <c r="M256" i="1" s="1"/>
  <c r="L255" i="1"/>
  <c r="M255" i="1" s="1"/>
  <c r="L254" i="1"/>
  <c r="M254" i="1" s="1"/>
  <c r="L253" i="1"/>
  <c r="M253" i="1" s="1"/>
  <c r="L252" i="1"/>
  <c r="M252" i="1" s="1"/>
  <c r="L251" i="1"/>
  <c r="M251" i="1" s="1"/>
  <c r="L250" i="1"/>
  <c r="M250" i="1" s="1"/>
  <c r="L249" i="1"/>
  <c r="M249" i="1" s="1"/>
  <c r="L248" i="1"/>
  <c r="M248" i="1" s="1"/>
  <c r="L247" i="1"/>
  <c r="M247" i="1" s="1"/>
  <c r="L246" i="1"/>
  <c r="M246" i="1" s="1"/>
  <c r="L245" i="1"/>
  <c r="M245" i="1" s="1"/>
  <c r="L244" i="1"/>
  <c r="M244" i="1" s="1"/>
  <c r="L243" i="1"/>
  <c r="M243" i="1" s="1"/>
  <c r="L242" i="1"/>
  <c r="M242" i="1" s="1"/>
  <c r="L241" i="1"/>
  <c r="M241" i="1" s="1"/>
  <c r="L240" i="1"/>
  <c r="M240" i="1" s="1"/>
  <c r="L239" i="1"/>
  <c r="M239" i="1" s="1"/>
  <c r="L238" i="1"/>
  <c r="M238" i="1" s="1"/>
  <c r="L237" i="1"/>
  <c r="M237" i="1" s="1"/>
  <c r="L236" i="1"/>
  <c r="M236" i="1" s="1"/>
  <c r="L235" i="1"/>
  <c r="M235" i="1" s="1"/>
  <c r="L234" i="1"/>
  <c r="M234" i="1" s="1"/>
  <c r="L233" i="1"/>
  <c r="M233" i="1" s="1"/>
  <c r="L232" i="1"/>
  <c r="M232" i="1" s="1"/>
  <c r="L231" i="1"/>
  <c r="M231" i="1" s="1"/>
  <c r="L230" i="1"/>
  <c r="M230" i="1" s="1"/>
  <c r="L229" i="1"/>
  <c r="M229" i="1" s="1"/>
  <c r="L228" i="1"/>
  <c r="M228" i="1" s="1"/>
  <c r="L227" i="1"/>
  <c r="M227" i="1" s="1"/>
  <c r="L226" i="1"/>
  <c r="M226" i="1" s="1"/>
  <c r="L225" i="1"/>
  <c r="M225" i="1" s="1"/>
  <c r="L224" i="1"/>
  <c r="M224" i="1" s="1"/>
  <c r="L223" i="1"/>
  <c r="M223" i="1" s="1"/>
  <c r="L222" i="1"/>
  <c r="M222" i="1" s="1"/>
  <c r="L221" i="1"/>
  <c r="M221" i="1" s="1"/>
  <c r="L220" i="1"/>
  <c r="M220" i="1" s="1"/>
  <c r="L219" i="1"/>
  <c r="M219" i="1" s="1"/>
  <c r="L218" i="1"/>
  <c r="M218" i="1" s="1"/>
  <c r="L217" i="1"/>
  <c r="M217" i="1" s="1"/>
  <c r="L216" i="1"/>
  <c r="M216" i="1" s="1"/>
  <c r="L215" i="1"/>
  <c r="M215" i="1" s="1"/>
  <c r="L214" i="1"/>
  <c r="M214" i="1" s="1"/>
  <c r="L213" i="1"/>
  <c r="M213" i="1" s="1"/>
  <c r="L212" i="1"/>
  <c r="M212" i="1" s="1"/>
  <c r="L211" i="1"/>
  <c r="M211" i="1" s="1"/>
  <c r="L210" i="1"/>
  <c r="M210" i="1" s="1"/>
  <c r="L209" i="1"/>
  <c r="M209" i="1" s="1"/>
  <c r="L208" i="1"/>
  <c r="M208" i="1" s="1"/>
  <c r="L207" i="1"/>
  <c r="M207" i="1" s="1"/>
  <c r="L206" i="1"/>
  <c r="M206" i="1" s="1"/>
  <c r="L205" i="1"/>
  <c r="M205" i="1" s="1"/>
  <c r="L204" i="1"/>
  <c r="M204" i="1" s="1"/>
  <c r="L203" i="1"/>
  <c r="M203" i="1" s="1"/>
  <c r="L202" i="1"/>
  <c r="M202" i="1" s="1"/>
  <c r="L201" i="1"/>
  <c r="M201" i="1" s="1"/>
  <c r="L200" i="1"/>
  <c r="M200" i="1" s="1"/>
  <c r="L199" i="1"/>
  <c r="M199" i="1" s="1"/>
  <c r="L198" i="1"/>
  <c r="M198" i="1" s="1"/>
  <c r="L197" i="1"/>
  <c r="M197" i="1" s="1"/>
  <c r="L196" i="1"/>
  <c r="M196" i="1" s="1"/>
  <c r="L195" i="1"/>
  <c r="M195" i="1" s="1"/>
  <c r="L194" i="1"/>
  <c r="M194" i="1" s="1"/>
  <c r="L193" i="1"/>
  <c r="M193" i="1" s="1"/>
  <c r="L192" i="1"/>
  <c r="M192" i="1" s="1"/>
  <c r="L191" i="1"/>
  <c r="M191" i="1" s="1"/>
  <c r="L190" i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L183" i="1"/>
  <c r="M183" i="1" s="1"/>
  <c r="L182" i="1"/>
  <c r="M182" i="1" s="1"/>
  <c r="L181" i="1"/>
  <c r="M181" i="1" s="1"/>
  <c r="L180" i="1"/>
  <c r="M180" i="1" s="1"/>
  <c r="L179" i="1"/>
  <c r="M179" i="1" s="1"/>
  <c r="L178" i="1"/>
  <c r="M178" i="1" s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M168" i="1" s="1"/>
  <c r="L167" i="1"/>
  <c r="M167" i="1" s="1"/>
  <c r="L166" i="1"/>
  <c r="M166" i="1" s="1"/>
  <c r="L165" i="1"/>
  <c r="M165" i="1" s="1"/>
  <c r="L164" i="1"/>
  <c r="M164" i="1" s="1"/>
  <c r="L163" i="1"/>
  <c r="M163" i="1" s="1"/>
  <c r="L162" i="1"/>
  <c r="M162" i="1" s="1"/>
  <c r="L161" i="1"/>
  <c r="M161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54" i="1"/>
  <c r="M154" i="1" s="1"/>
  <c r="L153" i="1"/>
  <c r="M153" i="1" s="1"/>
  <c r="L152" i="1"/>
  <c r="M152" i="1" s="1"/>
  <c r="L151" i="1"/>
  <c r="M151" i="1" s="1"/>
  <c r="L150" i="1"/>
  <c r="M150" i="1" s="1"/>
  <c r="L149" i="1"/>
  <c r="M149" i="1" s="1"/>
  <c r="L148" i="1"/>
  <c r="M148" i="1" s="1"/>
  <c r="L147" i="1"/>
  <c r="M147" i="1" s="1"/>
  <c r="L146" i="1"/>
  <c r="M146" i="1" s="1"/>
  <c r="L145" i="1"/>
  <c r="M145" i="1" s="1"/>
  <c r="L144" i="1"/>
  <c r="M144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L135" i="1"/>
  <c r="M135" i="1" s="1"/>
  <c r="L134" i="1"/>
  <c r="M134" i="1" s="1"/>
  <c r="L133" i="1"/>
  <c r="M133" i="1" s="1"/>
  <c r="L132" i="1"/>
  <c r="M132" i="1" s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4" i="1"/>
  <c r="M124" i="1" s="1"/>
  <c r="L123" i="1"/>
  <c r="M123" i="1" s="1"/>
  <c r="L122" i="1"/>
  <c r="M122" i="1" s="1"/>
  <c r="L121" i="1"/>
  <c r="M121" i="1" s="1"/>
  <c r="L120" i="1"/>
  <c r="M120" i="1" s="1"/>
  <c r="L119" i="1"/>
  <c r="M119" i="1" s="1"/>
  <c r="L118" i="1"/>
  <c r="M118" i="1" s="1"/>
  <c r="L117" i="1"/>
  <c r="M117" i="1" s="1"/>
  <c r="L116" i="1"/>
  <c r="M116" i="1" s="1"/>
  <c r="L115" i="1"/>
  <c r="M115" i="1" s="1"/>
  <c r="L114" i="1"/>
  <c r="M114" i="1" s="1"/>
  <c r="L113" i="1"/>
  <c r="M113" i="1" s="1"/>
  <c r="L112" i="1"/>
  <c r="M112" i="1" s="1"/>
  <c r="L111" i="1"/>
  <c r="M111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L101" i="1"/>
  <c r="M101" i="1" s="1"/>
  <c r="L100" i="1"/>
  <c r="M100" i="1" s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90" i="1"/>
  <c r="M90" i="1" s="1"/>
  <c r="L89" i="1"/>
  <c r="M89" i="1" s="1"/>
  <c r="L88" i="1"/>
  <c r="M88" i="1" s="1"/>
  <c r="L87" i="1"/>
  <c r="M87" i="1" s="1"/>
  <c r="L86" i="1"/>
  <c r="M86" i="1" s="1"/>
  <c r="L85" i="1"/>
  <c r="M85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5" i="1"/>
  <c r="M75" i="1" s="1"/>
  <c r="L74" i="1"/>
  <c r="M74" i="1" s="1"/>
  <c r="L73" i="1"/>
  <c r="M73" i="1" s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61" i="1"/>
  <c r="M61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3" i="1"/>
  <c r="M53" i="1" s="1"/>
  <c r="C53" i="1"/>
  <c r="L52" i="1"/>
  <c r="M52" i="1" s="1"/>
  <c r="C52" i="1"/>
  <c r="L51" i="1"/>
  <c r="M51" i="1" s="1"/>
  <c r="C51" i="1"/>
  <c r="L50" i="1"/>
  <c r="M50" i="1" s="1"/>
  <c r="C50" i="1"/>
  <c r="L49" i="1"/>
  <c r="M49" i="1" s="1"/>
  <c r="C49" i="1"/>
  <c r="L48" i="1"/>
  <c r="M48" i="1" s="1"/>
  <c r="C48" i="1"/>
  <c r="L47" i="1"/>
  <c r="M47" i="1" s="1"/>
  <c r="C47" i="1"/>
  <c r="L46" i="1"/>
  <c r="M46" i="1" s="1"/>
  <c r="C46" i="1"/>
  <c r="L45" i="1"/>
  <c r="M45" i="1" s="1"/>
  <c r="C45" i="1"/>
  <c r="L44" i="1"/>
  <c r="M44" i="1" s="1"/>
  <c r="C44" i="1"/>
  <c r="L43" i="1"/>
  <c r="M43" i="1" s="1"/>
  <c r="C43" i="1"/>
  <c r="L42" i="1"/>
  <c r="M42" i="1" s="1"/>
  <c r="C42" i="1"/>
  <c r="L41" i="1"/>
  <c r="M41" i="1" s="1"/>
  <c r="C41" i="1"/>
  <c r="L40" i="1"/>
  <c r="M40" i="1" s="1"/>
  <c r="C40" i="1"/>
  <c r="L39" i="1"/>
  <c r="M39" i="1" s="1"/>
  <c r="C39" i="1"/>
  <c r="L38" i="1"/>
  <c r="M38" i="1" s="1"/>
  <c r="C38" i="1"/>
  <c r="L37" i="1"/>
  <c r="M37" i="1" s="1"/>
  <c r="C37" i="1"/>
  <c r="L36" i="1"/>
  <c r="M36" i="1" s="1"/>
  <c r="C36" i="1"/>
  <c r="L35" i="1"/>
  <c r="M35" i="1" s="1"/>
  <c r="C35" i="1"/>
  <c r="L34" i="1"/>
  <c r="M34" i="1" s="1"/>
  <c r="C34" i="1"/>
  <c r="L33" i="1"/>
  <c r="M33" i="1" s="1"/>
  <c r="C33" i="1"/>
  <c r="L32" i="1"/>
  <c r="M32" i="1" s="1"/>
  <c r="C32" i="1"/>
  <c r="L31" i="1"/>
  <c r="M31" i="1" s="1"/>
  <c r="C31" i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L3" i="1"/>
  <c r="M3" i="1" s="1"/>
  <c r="L2" i="1"/>
  <c r="M2" i="1" s="1"/>
  <c r="S16" i="2" l="1"/>
  <c r="L7" i="2"/>
  <c r="N7" i="2" s="1"/>
  <c r="O7" i="2"/>
  <c r="L11" i="2"/>
  <c r="N11" i="2" s="1"/>
  <c r="O11" i="2"/>
  <c r="L15" i="2"/>
  <c r="N15" i="2" s="1"/>
  <c r="O10" i="2"/>
  <c r="O4" i="2"/>
  <c r="J5" i="2"/>
  <c r="L5" i="2" s="1"/>
  <c r="N5" i="2" s="1"/>
  <c r="J9" i="2"/>
  <c r="L9" i="2" s="1"/>
  <c r="N9" i="2" s="1"/>
  <c r="J13" i="2"/>
  <c r="L13" i="2" s="1"/>
  <c r="N13" i="2" s="1"/>
  <c r="O8" i="2"/>
  <c r="O12" i="2"/>
  <c r="J6" i="2"/>
  <c r="L6" i="2" s="1"/>
  <c r="N6" i="2" s="1"/>
  <c r="J10" i="2"/>
  <c r="L10" i="2" s="1"/>
  <c r="N10" i="2" s="1"/>
  <c r="J14" i="2"/>
  <c r="L14" i="2" s="1"/>
  <c r="N14" i="2" s="1"/>
  <c r="L2" i="2"/>
  <c r="N2" i="2" s="1"/>
  <c r="O2" i="2" s="1"/>
  <c r="O1" i="1"/>
  <c r="V3" i="1" s="1"/>
  <c r="B25" i="1" s="1"/>
  <c r="C25" i="1" s="1"/>
  <c r="O2" i="1"/>
  <c r="W3" i="1" s="1"/>
  <c r="F25" i="1" s="1"/>
  <c r="H25" i="1" l="1"/>
  <c r="I26" i="1" s="1"/>
  <c r="O9" i="2"/>
  <c r="O6" i="2"/>
  <c r="O15" i="2"/>
  <c r="O5" i="2"/>
  <c r="O13" i="2"/>
  <c r="O14" i="2"/>
  <c r="O16" i="2" l="1"/>
</calcChain>
</file>

<file path=xl/sharedStrings.xml><?xml version="1.0" encoding="utf-8"?>
<sst xmlns="http://schemas.openxmlformats.org/spreadsheetml/2006/main" count="158" uniqueCount="77">
  <si>
    <t>lec num</t>
  </si>
  <si>
    <t>units</t>
  </si>
  <si>
    <t>log units</t>
  </si>
  <si>
    <t>dummy</t>
  </si>
  <si>
    <t>duration</t>
  </si>
  <si>
    <t>First week sales</t>
  </si>
  <si>
    <t>Days left</t>
  </si>
  <si>
    <t>Predicted by model near-source</t>
  </si>
  <si>
    <t>Predicted by model out-source</t>
  </si>
  <si>
    <t>Simulation №</t>
  </si>
  <si>
    <t>Simulated demand</t>
  </si>
  <si>
    <t>Simulated demand in 1st week</t>
  </si>
  <si>
    <t>Average sim. Demand</t>
  </si>
  <si>
    <t>based on historical data</t>
  </si>
  <si>
    <t>Average sim. 1st week demand</t>
  </si>
  <si>
    <t>sd</t>
  </si>
  <si>
    <t>simulation №</t>
  </si>
  <si>
    <t>mean</t>
  </si>
  <si>
    <t>Num. of shirts to order locally:</t>
  </si>
  <si>
    <t>Log 1st week</t>
  </si>
  <si>
    <t>units sold</t>
  </si>
  <si>
    <t>Days left after 1st week</t>
  </si>
  <si>
    <t>1st week sales</t>
  </si>
  <si>
    <t>Shirts order (before 1st week)</t>
  </si>
  <si>
    <t>left in inventory after 1st week</t>
  </si>
  <si>
    <t>Shirts needed locally (after 1st week)</t>
  </si>
  <si>
    <t>Maximum production locally</t>
  </si>
  <si>
    <t>Shirts order locally</t>
  </si>
  <si>
    <t>Revenue near</t>
  </si>
  <si>
    <t>Cost near</t>
  </si>
  <si>
    <t>Profit near</t>
  </si>
  <si>
    <t>Revenue out</t>
  </si>
  <si>
    <t>Cost out</t>
  </si>
  <si>
    <t>Profit out</t>
  </si>
  <si>
    <t>Total profit near:</t>
  </si>
  <si>
    <t>Total profit:</t>
  </si>
  <si>
    <t>Price</t>
  </si>
  <si>
    <t>Cost Ukraine</t>
  </si>
  <si>
    <t>Cost locally</t>
  </si>
  <si>
    <t>Local capacity/day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</si>
  <si>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</si>
  <si>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</si>
  <si>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</si>
  <si>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</si>
  <si>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</si>
  <si>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</si>
  <si>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</si>
  <si>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</si>
  <si>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</si>
  <si>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</si>
  <si>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</si>
  <si>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</si>
  <si>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</si>
  <si>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</si>
  <si>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</si>
  <si>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</si>
  <si>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</si>
  <si>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</si>
  <si>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</si>
  <si>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</si>
  <si>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</si>
  <si>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</si>
  <si>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</si>
  <si>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</si>
  <si>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RESIDUAL OUTPUT</t>
  </si>
  <si>
    <t>PROBABILITY OUTPUT</t>
  </si>
  <si>
    <t>Observation</t>
  </si>
  <si>
    <t>Predicted Log 1st week</t>
  </si>
  <si>
    <t>Residuals</t>
  </si>
  <si>
    <t>Standard Residuals</t>
  </si>
  <si>
    <t>Percentile</t>
  </si>
  <si>
    <t>Predicted log units</t>
  </si>
  <si>
    <t>X Variable 1</t>
  </si>
  <si>
    <t>X Variable 2</t>
  </si>
  <si>
    <t>Predicted Y</t>
  </si>
  <si>
    <t>Y</t>
  </si>
  <si>
    <t>So the near-sourcing model is more profitable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</si>
</sst>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0" borderId="4" xfId="0" applyBorder="1"/>
    <xf numFmtId="0" fontId="0" fillId="6" borderId="1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 applyAlignment="1">
      <alignment horizontal="centerContinuous"/>
    </xf>
    <xf numFmtId="0" fontId="0" fillId="0" borderId="12" xfId="0" applyBorder="1"/>
    <xf numFmtId="0" fontId="1" fillId="0" borderId="11" xfId="0" applyFont="1" applyBorder="1" applyAlignment="1">
      <alignment horizontal="center"/>
    </xf>
    <xf numFmtId="0" fontId="0" fillId="7" borderId="2" xfId="0" applyFill="1" applyBorder="1"/>
    <xf numFmtId="0" fontId="0" fillId="7" borderId="3" xfId="0" applyFill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dummy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'[1]task 2.5'!$D$2:$D$24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xVal>
          <c:yVal>
            <c:numRef>
              <c:f>[1]MultiLogRegr2!$C$27:$C$49</c:f>
              <c:numCache>
                <c:formatCode>General</c:formatCode>
                <c:ptCount val="23"/>
                <c:pt idx="0">
                  <c:v>-0.15015720127645249</c:v>
                </c:pt>
                <c:pt idx="1">
                  <c:v>-0.13105722616127791</c:v>
                </c:pt>
                <c:pt idx="2">
                  <c:v>-5.4519487962341628E-2</c:v>
                </c:pt>
                <c:pt idx="3">
                  <c:v>5.218721071272725E-2</c:v>
                </c:pt>
                <c:pt idx="4">
                  <c:v>-4.7164193364732654E-3</c:v>
                </c:pt>
                <c:pt idx="5">
                  <c:v>-1.5986848899741002E-2</c:v>
                </c:pt>
                <c:pt idx="6">
                  <c:v>-9.0715156896719051E-3</c:v>
                </c:pt>
                <c:pt idx="7">
                  <c:v>-9.1179211913020808E-2</c:v>
                </c:pt>
                <c:pt idx="8">
                  <c:v>1.5221401919690791E-2</c:v>
                </c:pt>
                <c:pt idx="9">
                  <c:v>-8.8014007293004237E-2</c:v>
                </c:pt>
                <c:pt idx="10">
                  <c:v>-5.5683504804067141E-3</c:v>
                </c:pt>
                <c:pt idx="11">
                  <c:v>0.18379881323395697</c:v>
                </c:pt>
                <c:pt idx="12">
                  <c:v>-9.5166596647386914E-2</c:v>
                </c:pt>
                <c:pt idx="13">
                  <c:v>-4.3380781592261108E-2</c:v>
                </c:pt>
                <c:pt idx="14">
                  <c:v>-8.3267124829676575E-2</c:v>
                </c:pt>
                <c:pt idx="15">
                  <c:v>0.10406474275602484</c:v>
                </c:pt>
                <c:pt idx="16">
                  <c:v>0.15327699700986042</c:v>
                </c:pt>
                <c:pt idx="17">
                  <c:v>4.4408920985006262E-16</c:v>
                </c:pt>
                <c:pt idx="18">
                  <c:v>5.3236011278132711E-2</c:v>
                </c:pt>
                <c:pt idx="19">
                  <c:v>-9.4420341894178694E-2</c:v>
                </c:pt>
                <c:pt idx="20">
                  <c:v>-2.265145779092359E-2</c:v>
                </c:pt>
                <c:pt idx="21">
                  <c:v>0.12391542399279709</c:v>
                </c:pt>
                <c:pt idx="22">
                  <c:v>0.20345597086363476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49-402D-9ED8-011D11FB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86768"/>
        <c:axId val="63587248"/>
      </c:scatterChart>
      <c:valAx>
        <c:axId val="63586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dummy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587248"/>
        <c:crosses val="autoZero"/>
        <c:crossBetween val="midCat"/>
      </c:valAx>
      <c:valAx>
        <c:axId val="635872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58676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duration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'[1]task 2.5'!$E$2:$E$24</c:f>
              <c:numCache>
                <c:formatCode>General</c:formatCode>
                <c:ptCount val="23"/>
                <c:pt idx="0">
                  <c:v>21</c:v>
                </c:pt>
                <c:pt idx="1">
                  <c:v>21</c:v>
                </c:pt>
                <c:pt idx="2">
                  <c:v>13</c:v>
                </c:pt>
                <c:pt idx="3">
                  <c:v>15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21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16</c:v>
                </c:pt>
                <c:pt idx="12">
                  <c:v>26</c:v>
                </c:pt>
                <c:pt idx="13">
                  <c:v>16</c:v>
                </c:pt>
                <c:pt idx="14">
                  <c:v>18</c:v>
                </c:pt>
                <c:pt idx="15">
                  <c:v>14</c:v>
                </c:pt>
                <c:pt idx="16">
                  <c:v>36</c:v>
                </c:pt>
                <c:pt idx="17">
                  <c:v>35</c:v>
                </c:pt>
                <c:pt idx="18">
                  <c:v>28</c:v>
                </c:pt>
                <c:pt idx="19">
                  <c:v>17</c:v>
                </c:pt>
                <c:pt idx="20">
                  <c:v>11</c:v>
                </c:pt>
                <c:pt idx="21">
                  <c:v>14</c:v>
                </c:pt>
                <c:pt idx="22">
                  <c:v>13</c:v>
                </c:pt>
              </c:numCache>
            </c:numRef>
          </c:xVal>
          <c:yVal>
            <c:numRef>
              <c:f>[1]MultiLogRegr2!$C$27:$C$49</c:f>
              <c:numCache>
                <c:formatCode>General</c:formatCode>
                <c:ptCount val="23"/>
                <c:pt idx="0">
                  <c:v>-0.15015720127645249</c:v>
                </c:pt>
                <c:pt idx="1">
                  <c:v>-0.13105722616127791</c:v>
                </c:pt>
                <c:pt idx="2">
                  <c:v>-5.4519487962341628E-2</c:v>
                </c:pt>
                <c:pt idx="3">
                  <c:v>5.218721071272725E-2</c:v>
                </c:pt>
                <c:pt idx="4">
                  <c:v>-4.7164193364732654E-3</c:v>
                </c:pt>
                <c:pt idx="5">
                  <c:v>-1.5986848899741002E-2</c:v>
                </c:pt>
                <c:pt idx="6">
                  <c:v>-9.0715156896719051E-3</c:v>
                </c:pt>
                <c:pt idx="7">
                  <c:v>-9.1179211913020808E-2</c:v>
                </c:pt>
                <c:pt idx="8">
                  <c:v>1.5221401919690791E-2</c:v>
                </c:pt>
                <c:pt idx="9">
                  <c:v>-8.8014007293004237E-2</c:v>
                </c:pt>
                <c:pt idx="10">
                  <c:v>-5.5683504804067141E-3</c:v>
                </c:pt>
                <c:pt idx="11">
                  <c:v>0.18379881323395697</c:v>
                </c:pt>
                <c:pt idx="12">
                  <c:v>-9.5166596647386914E-2</c:v>
                </c:pt>
                <c:pt idx="13">
                  <c:v>-4.3380781592261108E-2</c:v>
                </c:pt>
                <c:pt idx="14">
                  <c:v>-8.3267124829676575E-2</c:v>
                </c:pt>
                <c:pt idx="15">
                  <c:v>0.10406474275602484</c:v>
                </c:pt>
                <c:pt idx="16">
                  <c:v>0.15327699700986042</c:v>
                </c:pt>
                <c:pt idx="17">
                  <c:v>4.4408920985006262E-16</c:v>
                </c:pt>
                <c:pt idx="18">
                  <c:v>5.3236011278132711E-2</c:v>
                </c:pt>
                <c:pt idx="19">
                  <c:v>-9.4420341894178694E-2</c:v>
                </c:pt>
                <c:pt idx="20">
                  <c:v>-2.265145779092359E-2</c:v>
                </c:pt>
                <c:pt idx="21">
                  <c:v>0.12391542399279709</c:v>
                </c:pt>
                <c:pt idx="22">
                  <c:v>0.20345597086363476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14-4BC8-86C6-6451ADED9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98288"/>
        <c:axId val="63598768"/>
      </c:scatterChart>
      <c:valAx>
        <c:axId val="63598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598768"/>
        <c:crosses val="autoZero"/>
        <c:crossBetween val="midCat"/>
      </c:valAx>
      <c:valAx>
        <c:axId val="63598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59828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First week sales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'[1]task 2.5'!$F$2:$F$24</c:f>
              <c:numCache>
                <c:formatCode>General</c:formatCode>
                <c:ptCount val="23"/>
                <c:pt idx="0">
                  <c:v>93</c:v>
                </c:pt>
                <c:pt idx="1">
                  <c:v>108</c:v>
                </c:pt>
                <c:pt idx="2">
                  <c:v>155</c:v>
                </c:pt>
                <c:pt idx="3">
                  <c:v>103</c:v>
                </c:pt>
                <c:pt idx="4">
                  <c:v>208</c:v>
                </c:pt>
                <c:pt idx="5">
                  <c:v>103</c:v>
                </c:pt>
                <c:pt idx="6">
                  <c:v>163</c:v>
                </c:pt>
                <c:pt idx="7">
                  <c:v>272</c:v>
                </c:pt>
                <c:pt idx="8">
                  <c:v>83</c:v>
                </c:pt>
                <c:pt idx="9">
                  <c:v>91</c:v>
                </c:pt>
                <c:pt idx="10">
                  <c:v>79</c:v>
                </c:pt>
                <c:pt idx="11">
                  <c:v>116</c:v>
                </c:pt>
                <c:pt idx="12">
                  <c:v>120</c:v>
                </c:pt>
                <c:pt idx="13">
                  <c:v>49</c:v>
                </c:pt>
                <c:pt idx="14">
                  <c:v>114</c:v>
                </c:pt>
                <c:pt idx="15">
                  <c:v>80</c:v>
                </c:pt>
                <c:pt idx="16">
                  <c:v>136</c:v>
                </c:pt>
                <c:pt idx="17">
                  <c:v>168</c:v>
                </c:pt>
                <c:pt idx="18">
                  <c:v>232</c:v>
                </c:pt>
                <c:pt idx="19">
                  <c:v>206</c:v>
                </c:pt>
                <c:pt idx="20">
                  <c:v>104</c:v>
                </c:pt>
                <c:pt idx="21">
                  <c:v>117</c:v>
                </c:pt>
                <c:pt idx="22">
                  <c:v>171</c:v>
                </c:pt>
              </c:numCache>
            </c:numRef>
          </c:xVal>
          <c:yVal>
            <c:numRef>
              <c:f>[1]MultiLogRegr2!$C$27:$C$49</c:f>
              <c:numCache>
                <c:formatCode>General</c:formatCode>
                <c:ptCount val="23"/>
                <c:pt idx="0">
                  <c:v>-0.15015720127645249</c:v>
                </c:pt>
                <c:pt idx="1">
                  <c:v>-0.13105722616127791</c:v>
                </c:pt>
                <c:pt idx="2">
                  <c:v>-5.4519487962341628E-2</c:v>
                </c:pt>
                <c:pt idx="3">
                  <c:v>5.218721071272725E-2</c:v>
                </c:pt>
                <c:pt idx="4">
                  <c:v>-4.7164193364732654E-3</c:v>
                </c:pt>
                <c:pt idx="5">
                  <c:v>-1.5986848899741002E-2</c:v>
                </c:pt>
                <c:pt idx="6">
                  <c:v>-9.0715156896719051E-3</c:v>
                </c:pt>
                <c:pt idx="7">
                  <c:v>-9.1179211913020808E-2</c:v>
                </c:pt>
                <c:pt idx="8">
                  <c:v>1.5221401919690791E-2</c:v>
                </c:pt>
                <c:pt idx="9">
                  <c:v>-8.8014007293004237E-2</c:v>
                </c:pt>
                <c:pt idx="10">
                  <c:v>-5.5683504804067141E-3</c:v>
                </c:pt>
                <c:pt idx="11">
                  <c:v>0.18379881323395697</c:v>
                </c:pt>
                <c:pt idx="12">
                  <c:v>-9.5166596647386914E-2</c:v>
                </c:pt>
                <c:pt idx="13">
                  <c:v>-4.3380781592261108E-2</c:v>
                </c:pt>
                <c:pt idx="14">
                  <c:v>-8.3267124829676575E-2</c:v>
                </c:pt>
                <c:pt idx="15">
                  <c:v>0.10406474275602484</c:v>
                </c:pt>
                <c:pt idx="16">
                  <c:v>0.15327699700986042</c:v>
                </c:pt>
                <c:pt idx="17">
                  <c:v>4.4408920985006262E-16</c:v>
                </c:pt>
                <c:pt idx="18">
                  <c:v>5.3236011278132711E-2</c:v>
                </c:pt>
                <c:pt idx="19">
                  <c:v>-9.4420341894178694E-2</c:v>
                </c:pt>
                <c:pt idx="20">
                  <c:v>-2.265145779092359E-2</c:v>
                </c:pt>
                <c:pt idx="21">
                  <c:v>0.12391542399279709</c:v>
                </c:pt>
                <c:pt idx="22">
                  <c:v>0.20345597086363476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C4-4D11-9835-8C8BA1548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00688"/>
        <c:axId val="63598288"/>
      </c:scatterChart>
      <c:valAx>
        <c:axId val="63600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First week 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598288"/>
        <c:crosses val="autoZero"/>
        <c:crossBetween val="midCat"/>
      </c:valAx>
      <c:valAx>
        <c:axId val="635982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60068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dummy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units</c:v>
          </c:tx>
          <c:spPr>
            <a:ln w="19050">
              <a:noFill/>
            </a:ln>
          </c:spPr>
          <c:xVal>
            <c:numRef>
              <c:f>'[1]task 2.5'!$D$2:$D$24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xVal>
          <c:yVal>
            <c:numRef>
              <c:f>'[1]task 2.5'!$C$2:$C$24</c:f>
              <c:numCache>
                <c:formatCode>General</c:formatCode>
                <c:ptCount val="23"/>
                <c:pt idx="0">
                  <c:v>2.2380461031287955</c:v>
                </c:pt>
                <c:pt idx="1">
                  <c:v>2.2922560713564759</c:v>
                </c:pt>
                <c:pt idx="2">
                  <c:v>2.2900346113625178</c:v>
                </c:pt>
                <c:pt idx="3">
                  <c:v>2.3222192947339191</c:v>
                </c:pt>
                <c:pt idx="4">
                  <c:v>2.4638929889859074</c:v>
                </c:pt>
                <c:pt idx="5">
                  <c:v>2.2304489213782741</c:v>
                </c:pt>
                <c:pt idx="6">
                  <c:v>2.4014005407815442</c:v>
                </c:pt>
                <c:pt idx="7">
                  <c:v>2.716003343634799</c:v>
                </c:pt>
                <c:pt idx="8">
                  <c:v>2.214843848047698</c:v>
                </c:pt>
                <c:pt idx="9">
                  <c:v>2.1303337684950061</c:v>
                </c:pt>
                <c:pt idx="10">
                  <c:v>2.1846914308175989</c:v>
                </c:pt>
                <c:pt idx="11">
                  <c:v>2.5078558716958308</c:v>
                </c:pt>
                <c:pt idx="12">
                  <c:v>2.4742162640762553</c:v>
                </c:pt>
                <c:pt idx="13">
                  <c:v>2.1238516409670858</c:v>
                </c:pt>
                <c:pt idx="14">
                  <c:v>2.2833012287035497</c:v>
                </c:pt>
                <c:pt idx="15">
                  <c:v>2.2966651902615309</c:v>
                </c:pt>
                <c:pt idx="16">
                  <c:v>2.9960736544852753</c:v>
                </c:pt>
                <c:pt idx="17">
                  <c:v>3.0948203803548</c:v>
                </c:pt>
                <c:pt idx="18">
                  <c:v>2.9319661147281728</c:v>
                </c:pt>
                <c:pt idx="19">
                  <c:v>2.4638929889859074</c:v>
                </c:pt>
                <c:pt idx="20">
                  <c:v>2.1553360374650619</c:v>
                </c:pt>
                <c:pt idx="21">
                  <c:v>2.403120521175818</c:v>
                </c:pt>
                <c:pt idx="22">
                  <c:v>2.5854607295085006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31-4212-B7AE-572BA40B3EE0}"/>
            </c:ext>
          </c:extLst>
        </c:ser>
        <c:ser>
          <c:idx val="1"/>
          <c:order val="1"/>
          <c:tx>
            <c:v>Predicted log units</c:v>
          </c:tx>
          <c:spPr>
            <a:ln w="19050">
              <a:noFill/>
            </a:ln>
          </c:spPr>
          <c:xVal>
            <c:numRef>
              <c:f>'[1]task 2.5'!$D$2:$D$24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xVal>
          <c:yVal>
            <c:numRef>
              <c:f>[1]MultiLogRegr2!$B$27:$B$49</c:f>
              <c:numCache>
                <c:formatCode>General</c:formatCode>
                <c:ptCount val="23"/>
                <c:pt idx="0">
                  <c:v>2.388203304405248</c:v>
                </c:pt>
                <c:pt idx="1">
                  <c:v>2.4233132975177538</c:v>
                </c:pt>
                <c:pt idx="2">
                  <c:v>2.3445540993248595</c:v>
                </c:pt>
                <c:pt idx="3">
                  <c:v>2.2700320840211918</c:v>
                </c:pt>
                <c:pt idx="4">
                  <c:v>2.4686094083223806</c:v>
                </c:pt>
                <c:pt idx="5">
                  <c:v>2.2464357702780151</c:v>
                </c:pt>
                <c:pt idx="6">
                  <c:v>2.4104720564712161</c:v>
                </c:pt>
                <c:pt idx="7">
                  <c:v>2.8071825555478198</c:v>
                </c:pt>
                <c:pt idx="8">
                  <c:v>2.1996224461280072</c:v>
                </c:pt>
                <c:pt idx="9">
                  <c:v>2.2183477757880103</c:v>
                </c:pt>
                <c:pt idx="10">
                  <c:v>2.1902597812980056</c:v>
                </c:pt>
                <c:pt idx="11">
                  <c:v>2.3240570584618738</c:v>
                </c:pt>
                <c:pt idx="12">
                  <c:v>2.5693828607236422</c:v>
                </c:pt>
                <c:pt idx="13">
                  <c:v>2.1672324225593469</c:v>
                </c:pt>
                <c:pt idx="14">
                  <c:v>2.3665683535332263</c:v>
                </c:pt>
                <c:pt idx="15">
                  <c:v>2.1926004475055061</c:v>
                </c:pt>
                <c:pt idx="16">
                  <c:v>2.8427966574754149</c:v>
                </c:pt>
                <c:pt idx="17">
                  <c:v>3.0948203803547996</c:v>
                </c:pt>
                <c:pt idx="18">
                  <c:v>2.8787301034500401</c:v>
                </c:pt>
                <c:pt idx="19">
                  <c:v>2.5583133308800861</c:v>
                </c:pt>
                <c:pt idx="20">
                  <c:v>2.1779874952559855</c:v>
                </c:pt>
                <c:pt idx="21">
                  <c:v>2.2792050971830209</c:v>
                </c:pt>
                <c:pt idx="22">
                  <c:v>2.3820047586448658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31-4212-B7AE-572BA40B3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00688"/>
        <c:axId val="63605488"/>
      </c:scatterChart>
      <c:valAx>
        <c:axId val="63600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dummy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605488"/>
        <c:crosses val="autoZero"/>
        <c:crossBetween val="midCat"/>
      </c:valAx>
      <c:valAx>
        <c:axId val="63605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 units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6006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duration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units</c:v>
          </c:tx>
          <c:spPr>
            <a:ln w="19050">
              <a:noFill/>
            </a:ln>
          </c:spPr>
          <c:xVal>
            <c:numRef>
              <c:f>'[1]task 2.5'!$E$2:$E$24</c:f>
              <c:numCache>
                <c:formatCode>General</c:formatCode>
                <c:ptCount val="23"/>
                <c:pt idx="0">
                  <c:v>21</c:v>
                </c:pt>
                <c:pt idx="1">
                  <c:v>21</c:v>
                </c:pt>
                <c:pt idx="2">
                  <c:v>13</c:v>
                </c:pt>
                <c:pt idx="3">
                  <c:v>15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21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16</c:v>
                </c:pt>
                <c:pt idx="12">
                  <c:v>26</c:v>
                </c:pt>
                <c:pt idx="13">
                  <c:v>16</c:v>
                </c:pt>
                <c:pt idx="14">
                  <c:v>18</c:v>
                </c:pt>
                <c:pt idx="15">
                  <c:v>14</c:v>
                </c:pt>
                <c:pt idx="16">
                  <c:v>36</c:v>
                </c:pt>
                <c:pt idx="17">
                  <c:v>35</c:v>
                </c:pt>
                <c:pt idx="18">
                  <c:v>28</c:v>
                </c:pt>
                <c:pt idx="19">
                  <c:v>17</c:v>
                </c:pt>
                <c:pt idx="20">
                  <c:v>11</c:v>
                </c:pt>
                <c:pt idx="21">
                  <c:v>14</c:v>
                </c:pt>
                <c:pt idx="22">
                  <c:v>13</c:v>
                </c:pt>
              </c:numCache>
            </c:numRef>
          </c:xVal>
          <c:yVal>
            <c:numRef>
              <c:f>'[1]task 2.5'!$C$2:$C$24</c:f>
              <c:numCache>
                <c:formatCode>General</c:formatCode>
                <c:ptCount val="23"/>
                <c:pt idx="0">
                  <c:v>2.2380461031287955</c:v>
                </c:pt>
                <c:pt idx="1">
                  <c:v>2.2922560713564759</c:v>
                </c:pt>
                <c:pt idx="2">
                  <c:v>2.2900346113625178</c:v>
                </c:pt>
                <c:pt idx="3">
                  <c:v>2.3222192947339191</c:v>
                </c:pt>
                <c:pt idx="4">
                  <c:v>2.4638929889859074</c:v>
                </c:pt>
                <c:pt idx="5">
                  <c:v>2.2304489213782741</c:v>
                </c:pt>
                <c:pt idx="6">
                  <c:v>2.4014005407815442</c:v>
                </c:pt>
                <c:pt idx="7">
                  <c:v>2.716003343634799</c:v>
                </c:pt>
                <c:pt idx="8">
                  <c:v>2.214843848047698</c:v>
                </c:pt>
                <c:pt idx="9">
                  <c:v>2.1303337684950061</c:v>
                </c:pt>
                <c:pt idx="10">
                  <c:v>2.1846914308175989</c:v>
                </c:pt>
                <c:pt idx="11">
                  <c:v>2.5078558716958308</c:v>
                </c:pt>
                <c:pt idx="12">
                  <c:v>2.4742162640762553</c:v>
                </c:pt>
                <c:pt idx="13">
                  <c:v>2.1238516409670858</c:v>
                </c:pt>
                <c:pt idx="14">
                  <c:v>2.2833012287035497</c:v>
                </c:pt>
                <c:pt idx="15">
                  <c:v>2.2966651902615309</c:v>
                </c:pt>
                <c:pt idx="16">
                  <c:v>2.9960736544852753</c:v>
                </c:pt>
                <c:pt idx="17">
                  <c:v>3.0948203803548</c:v>
                </c:pt>
                <c:pt idx="18">
                  <c:v>2.9319661147281728</c:v>
                </c:pt>
                <c:pt idx="19">
                  <c:v>2.4638929889859074</c:v>
                </c:pt>
                <c:pt idx="20">
                  <c:v>2.1553360374650619</c:v>
                </c:pt>
                <c:pt idx="21">
                  <c:v>2.403120521175818</c:v>
                </c:pt>
                <c:pt idx="22">
                  <c:v>2.5854607295085006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BC-4CAD-89FC-9D457A71E5D6}"/>
            </c:ext>
          </c:extLst>
        </c:ser>
        <c:ser>
          <c:idx val="1"/>
          <c:order val="1"/>
          <c:tx>
            <c:v>Predicted log units</c:v>
          </c:tx>
          <c:spPr>
            <a:ln w="19050">
              <a:noFill/>
            </a:ln>
          </c:spPr>
          <c:xVal>
            <c:numRef>
              <c:f>'[1]task 2.5'!$E$2:$E$24</c:f>
              <c:numCache>
                <c:formatCode>General</c:formatCode>
                <c:ptCount val="23"/>
                <c:pt idx="0">
                  <c:v>21</c:v>
                </c:pt>
                <c:pt idx="1">
                  <c:v>21</c:v>
                </c:pt>
                <c:pt idx="2">
                  <c:v>13</c:v>
                </c:pt>
                <c:pt idx="3">
                  <c:v>15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21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16</c:v>
                </c:pt>
                <c:pt idx="12">
                  <c:v>26</c:v>
                </c:pt>
                <c:pt idx="13">
                  <c:v>16</c:v>
                </c:pt>
                <c:pt idx="14">
                  <c:v>18</c:v>
                </c:pt>
                <c:pt idx="15">
                  <c:v>14</c:v>
                </c:pt>
                <c:pt idx="16">
                  <c:v>36</c:v>
                </c:pt>
                <c:pt idx="17">
                  <c:v>35</c:v>
                </c:pt>
                <c:pt idx="18">
                  <c:v>28</c:v>
                </c:pt>
                <c:pt idx="19">
                  <c:v>17</c:v>
                </c:pt>
                <c:pt idx="20">
                  <c:v>11</c:v>
                </c:pt>
                <c:pt idx="21">
                  <c:v>14</c:v>
                </c:pt>
                <c:pt idx="22">
                  <c:v>13</c:v>
                </c:pt>
              </c:numCache>
            </c:numRef>
          </c:xVal>
          <c:yVal>
            <c:numRef>
              <c:f>[1]MultiLogRegr2!$B$27:$B$49</c:f>
              <c:numCache>
                <c:formatCode>General</c:formatCode>
                <c:ptCount val="23"/>
                <c:pt idx="0">
                  <c:v>2.388203304405248</c:v>
                </c:pt>
                <c:pt idx="1">
                  <c:v>2.4233132975177538</c:v>
                </c:pt>
                <c:pt idx="2">
                  <c:v>2.3445540993248595</c:v>
                </c:pt>
                <c:pt idx="3">
                  <c:v>2.2700320840211918</c:v>
                </c:pt>
                <c:pt idx="4">
                  <c:v>2.4686094083223806</c:v>
                </c:pt>
                <c:pt idx="5">
                  <c:v>2.2464357702780151</c:v>
                </c:pt>
                <c:pt idx="6">
                  <c:v>2.4104720564712161</c:v>
                </c:pt>
                <c:pt idx="7">
                  <c:v>2.8071825555478198</c:v>
                </c:pt>
                <c:pt idx="8">
                  <c:v>2.1996224461280072</c:v>
                </c:pt>
                <c:pt idx="9">
                  <c:v>2.2183477757880103</c:v>
                </c:pt>
                <c:pt idx="10">
                  <c:v>2.1902597812980056</c:v>
                </c:pt>
                <c:pt idx="11">
                  <c:v>2.3240570584618738</c:v>
                </c:pt>
                <c:pt idx="12">
                  <c:v>2.5693828607236422</c:v>
                </c:pt>
                <c:pt idx="13">
                  <c:v>2.1672324225593469</c:v>
                </c:pt>
                <c:pt idx="14">
                  <c:v>2.3665683535332263</c:v>
                </c:pt>
                <c:pt idx="15">
                  <c:v>2.1926004475055061</c:v>
                </c:pt>
                <c:pt idx="16">
                  <c:v>2.8427966574754149</c:v>
                </c:pt>
                <c:pt idx="17">
                  <c:v>3.0948203803547996</c:v>
                </c:pt>
                <c:pt idx="18">
                  <c:v>2.8787301034500401</c:v>
                </c:pt>
                <c:pt idx="19">
                  <c:v>2.5583133308800861</c:v>
                </c:pt>
                <c:pt idx="20">
                  <c:v>2.1779874952559855</c:v>
                </c:pt>
                <c:pt idx="21">
                  <c:v>2.2792050971830209</c:v>
                </c:pt>
                <c:pt idx="22">
                  <c:v>2.3820047586448658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BC-4CAD-89FC-9D457A71E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00688"/>
        <c:axId val="63602608"/>
      </c:scatterChart>
      <c:valAx>
        <c:axId val="63600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602608"/>
        <c:crosses val="autoZero"/>
        <c:crossBetween val="midCat"/>
      </c:valAx>
      <c:valAx>
        <c:axId val="636026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 units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6006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First week sales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units</c:v>
          </c:tx>
          <c:spPr>
            <a:ln w="19050">
              <a:noFill/>
            </a:ln>
          </c:spPr>
          <c:xVal>
            <c:numRef>
              <c:f>'[1]task 2.5'!$F$2:$F$24</c:f>
              <c:numCache>
                <c:formatCode>General</c:formatCode>
                <c:ptCount val="23"/>
                <c:pt idx="0">
                  <c:v>93</c:v>
                </c:pt>
                <c:pt idx="1">
                  <c:v>108</c:v>
                </c:pt>
                <c:pt idx="2">
                  <c:v>155</c:v>
                </c:pt>
                <c:pt idx="3">
                  <c:v>103</c:v>
                </c:pt>
                <c:pt idx="4">
                  <c:v>208</c:v>
                </c:pt>
                <c:pt idx="5">
                  <c:v>103</c:v>
                </c:pt>
                <c:pt idx="6">
                  <c:v>163</c:v>
                </c:pt>
                <c:pt idx="7">
                  <c:v>272</c:v>
                </c:pt>
                <c:pt idx="8">
                  <c:v>83</c:v>
                </c:pt>
                <c:pt idx="9">
                  <c:v>91</c:v>
                </c:pt>
                <c:pt idx="10">
                  <c:v>79</c:v>
                </c:pt>
                <c:pt idx="11">
                  <c:v>116</c:v>
                </c:pt>
                <c:pt idx="12">
                  <c:v>120</c:v>
                </c:pt>
                <c:pt idx="13">
                  <c:v>49</c:v>
                </c:pt>
                <c:pt idx="14">
                  <c:v>114</c:v>
                </c:pt>
                <c:pt idx="15">
                  <c:v>80</c:v>
                </c:pt>
                <c:pt idx="16">
                  <c:v>136</c:v>
                </c:pt>
                <c:pt idx="17">
                  <c:v>168</c:v>
                </c:pt>
                <c:pt idx="18">
                  <c:v>232</c:v>
                </c:pt>
                <c:pt idx="19">
                  <c:v>206</c:v>
                </c:pt>
                <c:pt idx="20">
                  <c:v>104</c:v>
                </c:pt>
                <c:pt idx="21">
                  <c:v>117</c:v>
                </c:pt>
                <c:pt idx="22">
                  <c:v>171</c:v>
                </c:pt>
              </c:numCache>
            </c:numRef>
          </c:xVal>
          <c:yVal>
            <c:numRef>
              <c:f>'[1]task 2.5'!$C$2:$C$24</c:f>
              <c:numCache>
                <c:formatCode>General</c:formatCode>
                <c:ptCount val="23"/>
                <c:pt idx="0">
                  <c:v>2.2380461031287955</c:v>
                </c:pt>
                <c:pt idx="1">
                  <c:v>2.2922560713564759</c:v>
                </c:pt>
                <c:pt idx="2">
                  <c:v>2.2900346113625178</c:v>
                </c:pt>
                <c:pt idx="3">
                  <c:v>2.3222192947339191</c:v>
                </c:pt>
                <c:pt idx="4">
                  <c:v>2.4638929889859074</c:v>
                </c:pt>
                <c:pt idx="5">
                  <c:v>2.2304489213782741</c:v>
                </c:pt>
                <c:pt idx="6">
                  <c:v>2.4014005407815442</c:v>
                </c:pt>
                <c:pt idx="7">
                  <c:v>2.716003343634799</c:v>
                </c:pt>
                <c:pt idx="8">
                  <c:v>2.214843848047698</c:v>
                </c:pt>
                <c:pt idx="9">
                  <c:v>2.1303337684950061</c:v>
                </c:pt>
                <c:pt idx="10">
                  <c:v>2.1846914308175989</c:v>
                </c:pt>
                <c:pt idx="11">
                  <c:v>2.5078558716958308</c:v>
                </c:pt>
                <c:pt idx="12">
                  <c:v>2.4742162640762553</c:v>
                </c:pt>
                <c:pt idx="13">
                  <c:v>2.1238516409670858</c:v>
                </c:pt>
                <c:pt idx="14">
                  <c:v>2.2833012287035497</c:v>
                </c:pt>
                <c:pt idx="15">
                  <c:v>2.2966651902615309</c:v>
                </c:pt>
                <c:pt idx="16">
                  <c:v>2.9960736544852753</c:v>
                </c:pt>
                <c:pt idx="17">
                  <c:v>3.0948203803548</c:v>
                </c:pt>
                <c:pt idx="18">
                  <c:v>2.9319661147281728</c:v>
                </c:pt>
                <c:pt idx="19">
                  <c:v>2.4638929889859074</c:v>
                </c:pt>
                <c:pt idx="20">
                  <c:v>2.1553360374650619</c:v>
                </c:pt>
                <c:pt idx="21">
                  <c:v>2.403120521175818</c:v>
                </c:pt>
                <c:pt idx="22">
                  <c:v>2.5854607295085006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7E-4177-9402-A8C52E673A43}"/>
            </c:ext>
          </c:extLst>
        </c:ser>
        <c:ser>
          <c:idx val="1"/>
          <c:order val="1"/>
          <c:tx>
            <c:v>Predicted log units</c:v>
          </c:tx>
          <c:spPr>
            <a:ln w="19050">
              <a:noFill/>
            </a:ln>
          </c:spPr>
          <c:xVal>
            <c:numRef>
              <c:f>'[1]task 2.5'!$F$2:$F$24</c:f>
              <c:numCache>
                <c:formatCode>General</c:formatCode>
                <c:ptCount val="23"/>
                <c:pt idx="0">
                  <c:v>93</c:v>
                </c:pt>
                <c:pt idx="1">
                  <c:v>108</c:v>
                </c:pt>
                <c:pt idx="2">
                  <c:v>155</c:v>
                </c:pt>
                <c:pt idx="3">
                  <c:v>103</c:v>
                </c:pt>
                <c:pt idx="4">
                  <c:v>208</c:v>
                </c:pt>
                <c:pt idx="5">
                  <c:v>103</c:v>
                </c:pt>
                <c:pt idx="6">
                  <c:v>163</c:v>
                </c:pt>
                <c:pt idx="7">
                  <c:v>272</c:v>
                </c:pt>
                <c:pt idx="8">
                  <c:v>83</c:v>
                </c:pt>
                <c:pt idx="9">
                  <c:v>91</c:v>
                </c:pt>
                <c:pt idx="10">
                  <c:v>79</c:v>
                </c:pt>
                <c:pt idx="11">
                  <c:v>116</c:v>
                </c:pt>
                <c:pt idx="12">
                  <c:v>120</c:v>
                </c:pt>
                <c:pt idx="13">
                  <c:v>49</c:v>
                </c:pt>
                <c:pt idx="14">
                  <c:v>114</c:v>
                </c:pt>
                <c:pt idx="15">
                  <c:v>80</c:v>
                </c:pt>
                <c:pt idx="16">
                  <c:v>136</c:v>
                </c:pt>
                <c:pt idx="17">
                  <c:v>168</c:v>
                </c:pt>
                <c:pt idx="18">
                  <c:v>232</c:v>
                </c:pt>
                <c:pt idx="19">
                  <c:v>206</c:v>
                </c:pt>
                <c:pt idx="20">
                  <c:v>104</c:v>
                </c:pt>
                <c:pt idx="21">
                  <c:v>117</c:v>
                </c:pt>
                <c:pt idx="22">
                  <c:v>171</c:v>
                </c:pt>
              </c:numCache>
            </c:numRef>
          </c:xVal>
          <c:yVal>
            <c:numRef>
              <c:f>[1]MultiLogRegr2!$B$27:$B$49</c:f>
              <c:numCache>
                <c:formatCode>General</c:formatCode>
                <c:ptCount val="23"/>
                <c:pt idx="0">
                  <c:v>2.388203304405248</c:v>
                </c:pt>
                <c:pt idx="1">
                  <c:v>2.4233132975177538</c:v>
                </c:pt>
                <c:pt idx="2">
                  <c:v>2.3445540993248595</c:v>
                </c:pt>
                <c:pt idx="3">
                  <c:v>2.2700320840211918</c:v>
                </c:pt>
                <c:pt idx="4">
                  <c:v>2.4686094083223806</c:v>
                </c:pt>
                <c:pt idx="5">
                  <c:v>2.2464357702780151</c:v>
                </c:pt>
                <c:pt idx="6">
                  <c:v>2.4104720564712161</c:v>
                </c:pt>
                <c:pt idx="7">
                  <c:v>2.8071825555478198</c:v>
                </c:pt>
                <c:pt idx="8">
                  <c:v>2.1996224461280072</c:v>
                </c:pt>
                <c:pt idx="9">
                  <c:v>2.2183477757880103</c:v>
                </c:pt>
                <c:pt idx="10">
                  <c:v>2.1902597812980056</c:v>
                </c:pt>
                <c:pt idx="11">
                  <c:v>2.3240570584618738</c:v>
                </c:pt>
                <c:pt idx="12">
                  <c:v>2.5693828607236422</c:v>
                </c:pt>
                <c:pt idx="13">
                  <c:v>2.1672324225593469</c:v>
                </c:pt>
                <c:pt idx="14">
                  <c:v>2.3665683535332263</c:v>
                </c:pt>
                <c:pt idx="15">
                  <c:v>2.1926004475055061</c:v>
                </c:pt>
                <c:pt idx="16">
                  <c:v>2.8427966574754149</c:v>
                </c:pt>
                <c:pt idx="17">
                  <c:v>3.0948203803547996</c:v>
                </c:pt>
                <c:pt idx="18">
                  <c:v>2.8787301034500401</c:v>
                </c:pt>
                <c:pt idx="19">
                  <c:v>2.5583133308800861</c:v>
                </c:pt>
                <c:pt idx="20">
                  <c:v>2.1779874952559855</c:v>
                </c:pt>
                <c:pt idx="21">
                  <c:v>2.2792050971830209</c:v>
                </c:pt>
                <c:pt idx="22">
                  <c:v>2.3820047586448658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7E-4177-9402-A8C52E673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03568"/>
        <c:axId val="63608848"/>
      </c:scatterChart>
      <c:valAx>
        <c:axId val="63603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First week 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608848"/>
        <c:crosses val="autoZero"/>
        <c:crossBetween val="midCat"/>
      </c:valAx>
      <c:valAx>
        <c:axId val="63608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 units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6035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[1]MultiLogRegr2!$F$27:$F$49</c:f>
              <c:numCache>
                <c:formatCode>General</c:formatCode>
                <c:ptCount val="23"/>
                <c:pt idx="0">
                  <c:v>2.1739130434782608</c:v>
                </c:pt>
                <c:pt idx="1">
                  <c:v>6.5217391304347823</c:v>
                </c:pt>
                <c:pt idx="2">
                  <c:v>10.869565217391305</c:v>
                </c:pt>
                <c:pt idx="3">
                  <c:v>15.217391304347824</c:v>
                </c:pt>
                <c:pt idx="4">
                  <c:v>19.565217391304348</c:v>
                </c:pt>
                <c:pt idx="5">
                  <c:v>23.913043478260871</c:v>
                </c:pt>
                <c:pt idx="6">
                  <c:v>28.260869565217391</c:v>
                </c:pt>
                <c:pt idx="7">
                  <c:v>32.608695652173907</c:v>
                </c:pt>
                <c:pt idx="8">
                  <c:v>36.95652173913043</c:v>
                </c:pt>
                <c:pt idx="9">
                  <c:v>41.304347826086953</c:v>
                </c:pt>
                <c:pt idx="10">
                  <c:v>45.652173913043477</c:v>
                </c:pt>
                <c:pt idx="11">
                  <c:v>49.999999999999993</c:v>
                </c:pt>
                <c:pt idx="12">
                  <c:v>54.347826086956516</c:v>
                </c:pt>
                <c:pt idx="13">
                  <c:v>58.695652173913039</c:v>
                </c:pt>
                <c:pt idx="14">
                  <c:v>63.043478260869556</c:v>
                </c:pt>
                <c:pt idx="15">
                  <c:v>67.391304347826093</c:v>
                </c:pt>
                <c:pt idx="16">
                  <c:v>71.739130434782609</c:v>
                </c:pt>
                <c:pt idx="17">
                  <c:v>76.086956521739125</c:v>
                </c:pt>
                <c:pt idx="18">
                  <c:v>80.434782608695656</c:v>
                </c:pt>
                <c:pt idx="19">
                  <c:v>84.782608695652172</c:v>
                </c:pt>
                <c:pt idx="20">
                  <c:v>89.130434782608702</c:v>
                </c:pt>
                <c:pt idx="21">
                  <c:v>93.478260869565219</c:v>
                </c:pt>
                <c:pt idx="22">
                  <c:v>97.826086956521735</c:v>
                </c:pt>
              </c:numCache>
            </c:numRef>
          </c:xVal>
          <c:yVal>
            <c:numRef>
              <c:f>[1]MultiLogRegr2!$G$27:$G$49</c:f>
              <c:numCache>
                <c:formatCode>General</c:formatCode>
                <c:ptCount val="23"/>
                <c:pt idx="0">
                  <c:v>2.1238516409670858</c:v>
                </c:pt>
                <c:pt idx="1">
                  <c:v>2.1303337684950061</c:v>
                </c:pt>
                <c:pt idx="2">
                  <c:v>2.1553360374650619</c:v>
                </c:pt>
                <c:pt idx="3">
                  <c:v>2.1846914308175989</c:v>
                </c:pt>
                <c:pt idx="4">
                  <c:v>2.214843848047698</c:v>
                </c:pt>
                <c:pt idx="5">
                  <c:v>2.2304489213782741</c:v>
                </c:pt>
                <c:pt idx="6">
                  <c:v>2.2380461031287955</c:v>
                </c:pt>
                <c:pt idx="7">
                  <c:v>2.2833012287035497</c:v>
                </c:pt>
                <c:pt idx="8">
                  <c:v>2.2900346113625178</c:v>
                </c:pt>
                <c:pt idx="9">
                  <c:v>2.2922560713564759</c:v>
                </c:pt>
                <c:pt idx="10">
                  <c:v>2.2966651902615309</c:v>
                </c:pt>
                <c:pt idx="11">
                  <c:v>2.3222192947339191</c:v>
                </c:pt>
                <c:pt idx="12">
                  <c:v>2.4014005407815442</c:v>
                </c:pt>
                <c:pt idx="13">
                  <c:v>2.403120521175818</c:v>
                </c:pt>
                <c:pt idx="14">
                  <c:v>2.4638929889859074</c:v>
                </c:pt>
                <c:pt idx="15">
                  <c:v>2.4638929889859074</c:v>
                </c:pt>
                <c:pt idx="16">
                  <c:v>2.4742162640762553</c:v>
                </c:pt>
                <c:pt idx="17">
                  <c:v>2.5078558716958308</c:v>
                </c:pt>
                <c:pt idx="18">
                  <c:v>2.5854607295085006</c:v>
                </c:pt>
                <c:pt idx="19">
                  <c:v>2.716003343634799</c:v>
                </c:pt>
                <c:pt idx="20">
                  <c:v>2.9319661147281728</c:v>
                </c:pt>
                <c:pt idx="21">
                  <c:v>2.9960736544852753</c:v>
                </c:pt>
                <c:pt idx="22">
                  <c:v>3.0948203803548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17-45FD-8C8B-2FE22474C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12688"/>
        <c:axId val="63607888"/>
      </c:scatterChart>
      <c:valAx>
        <c:axId val="63612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607888"/>
        <c:crosses val="autoZero"/>
        <c:crossBetween val="midCat"/>
      </c:valAx>
      <c:valAx>
        <c:axId val="6360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 units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61268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log units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'[1]task 2.5'!$D$31:$D$53</c:f>
              <c:numCache>
                <c:formatCode>General</c:formatCode>
                <c:ptCount val="23"/>
                <c:pt idx="0">
                  <c:v>2.2380461031287955</c:v>
                </c:pt>
                <c:pt idx="1">
                  <c:v>2.2922560713564759</c:v>
                </c:pt>
                <c:pt idx="2">
                  <c:v>2.2900346113625178</c:v>
                </c:pt>
                <c:pt idx="3">
                  <c:v>2.3222192947339191</c:v>
                </c:pt>
                <c:pt idx="4">
                  <c:v>2.4638929889859074</c:v>
                </c:pt>
                <c:pt idx="5">
                  <c:v>2.2304489213782741</c:v>
                </c:pt>
                <c:pt idx="6">
                  <c:v>2.4014005407815442</c:v>
                </c:pt>
                <c:pt idx="7">
                  <c:v>2.716003343634799</c:v>
                </c:pt>
                <c:pt idx="8">
                  <c:v>2.214843848047698</c:v>
                </c:pt>
                <c:pt idx="9">
                  <c:v>2.1303337684950061</c:v>
                </c:pt>
                <c:pt idx="10">
                  <c:v>2.1846914308175989</c:v>
                </c:pt>
                <c:pt idx="11">
                  <c:v>2.5078558716958308</c:v>
                </c:pt>
                <c:pt idx="12">
                  <c:v>2.4742162640762553</c:v>
                </c:pt>
                <c:pt idx="13">
                  <c:v>2.1238516409670858</c:v>
                </c:pt>
                <c:pt idx="14">
                  <c:v>2.2833012287035497</c:v>
                </c:pt>
                <c:pt idx="15">
                  <c:v>2.2966651902615309</c:v>
                </c:pt>
                <c:pt idx="16">
                  <c:v>2.9960736544852753</c:v>
                </c:pt>
                <c:pt idx="17">
                  <c:v>3.0948203803548</c:v>
                </c:pt>
                <c:pt idx="18">
                  <c:v>2.9319661147281728</c:v>
                </c:pt>
                <c:pt idx="19">
                  <c:v>2.4638929889859074</c:v>
                </c:pt>
                <c:pt idx="20">
                  <c:v>2.1553360374650619</c:v>
                </c:pt>
                <c:pt idx="21">
                  <c:v>2.403120521175818</c:v>
                </c:pt>
                <c:pt idx="22">
                  <c:v>2.5854607295085006</c:v>
                </c:pt>
              </c:numCache>
            </c:numRef>
          </c:xVal>
          <c:yVal>
            <c:numRef>
              <c:f>[1]MultiLogRegr1stWeek!$C$27:$C$49</c:f>
              <c:numCache>
                <c:formatCode>General</c:formatCode>
                <c:ptCount val="23"/>
                <c:pt idx="0">
                  <c:v>8.3594374618908063E-2</c:v>
                </c:pt>
                <c:pt idx="1">
                  <c:v>9.3180478807264988E-2</c:v>
                </c:pt>
                <c:pt idx="2">
                  <c:v>0.11029390389860527</c:v>
                </c:pt>
                <c:pt idx="3">
                  <c:v>-6.4549164715763663E-2</c:v>
                </c:pt>
                <c:pt idx="4">
                  <c:v>6.0495851454011706E-2</c:v>
                </c:pt>
                <c:pt idx="5">
                  <c:v>1.1401233257893217E-2</c:v>
                </c:pt>
                <c:pt idx="6">
                  <c:v>5.3947923951579657E-2</c:v>
                </c:pt>
                <c:pt idx="7">
                  <c:v>6.1630219799396535E-2</c:v>
                </c:pt>
                <c:pt idx="8">
                  <c:v>-6.6423298410775988E-2</c:v>
                </c:pt>
                <c:pt idx="9">
                  <c:v>5.9834653339222221E-2</c:v>
                </c:pt>
                <c:pt idx="10">
                  <c:v>-5.7085163339845257E-2</c:v>
                </c:pt>
                <c:pt idx="11">
                  <c:v>-0.18472714429788395</c:v>
                </c:pt>
                <c:pt idx="12">
                  <c:v>4.1924686255613963E-2</c:v>
                </c:pt>
                <c:pt idx="13">
                  <c:v>-0.16687592855579525</c:v>
                </c:pt>
                <c:pt idx="14">
                  <c:v>7.2531931059068855E-2</c:v>
                </c:pt>
                <c:pt idx="15">
                  <c:v>-0.16596054105676816</c:v>
                </c:pt>
                <c:pt idx="16">
                  <c:v>-5.9709539468793871E-2</c:v>
                </c:pt>
                <c:pt idx="17">
                  <c:v>-8.6528955860885048E-2</c:v>
                </c:pt>
                <c:pt idx="18">
                  <c:v>9.5637927726006655E-2</c:v>
                </c:pt>
                <c:pt idx="19">
                  <c:v>0.12733118058258075</c:v>
                </c:pt>
                <c:pt idx="20">
                  <c:v>3.9022783658200666E-2</c:v>
                </c:pt>
                <c:pt idx="21">
                  <c:v>-0.10956798030551917</c:v>
                </c:pt>
                <c:pt idx="22">
                  <c:v>5.0600567603671376E-2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91-4F2A-A483-DCCC68544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84368"/>
        <c:axId val="63613168"/>
      </c:scatterChart>
      <c:valAx>
        <c:axId val="63584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 units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613168"/>
        <c:crosses val="autoZero"/>
        <c:crossBetween val="midCat"/>
      </c:valAx>
      <c:valAx>
        <c:axId val="636131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58436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Days left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'[1]task 2.5'!$E$31:$E$53</c:f>
              <c:numCache>
                <c:formatCode>General</c:formatCode>
                <c:ptCount val="23"/>
                <c:pt idx="0">
                  <c:v>14</c:v>
                </c:pt>
                <c:pt idx="1">
                  <c:v>14</c:v>
                </c:pt>
                <c:pt idx="2">
                  <c:v>6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14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9</c:v>
                </c:pt>
                <c:pt idx="12">
                  <c:v>19</c:v>
                </c:pt>
                <c:pt idx="13">
                  <c:v>9</c:v>
                </c:pt>
                <c:pt idx="14">
                  <c:v>11</c:v>
                </c:pt>
                <c:pt idx="15">
                  <c:v>7</c:v>
                </c:pt>
                <c:pt idx="16">
                  <c:v>29</c:v>
                </c:pt>
                <c:pt idx="17">
                  <c:v>28</c:v>
                </c:pt>
                <c:pt idx="18">
                  <c:v>21</c:v>
                </c:pt>
                <c:pt idx="19">
                  <c:v>10</c:v>
                </c:pt>
                <c:pt idx="20">
                  <c:v>4</c:v>
                </c:pt>
                <c:pt idx="21">
                  <c:v>7</c:v>
                </c:pt>
                <c:pt idx="22">
                  <c:v>6</c:v>
                </c:pt>
              </c:numCache>
            </c:numRef>
          </c:xVal>
          <c:yVal>
            <c:numRef>
              <c:f>[1]MultiLogRegr1stWeek!$C$27:$C$49</c:f>
              <c:numCache>
                <c:formatCode>General</c:formatCode>
                <c:ptCount val="23"/>
                <c:pt idx="0">
                  <c:v>8.3594374618908063E-2</c:v>
                </c:pt>
                <c:pt idx="1">
                  <c:v>9.3180478807264988E-2</c:v>
                </c:pt>
                <c:pt idx="2">
                  <c:v>0.11029390389860527</c:v>
                </c:pt>
                <c:pt idx="3">
                  <c:v>-6.4549164715763663E-2</c:v>
                </c:pt>
                <c:pt idx="4">
                  <c:v>6.0495851454011706E-2</c:v>
                </c:pt>
                <c:pt idx="5">
                  <c:v>1.1401233257893217E-2</c:v>
                </c:pt>
                <c:pt idx="6">
                  <c:v>5.3947923951579657E-2</c:v>
                </c:pt>
                <c:pt idx="7">
                  <c:v>6.1630219799396535E-2</c:v>
                </c:pt>
                <c:pt idx="8">
                  <c:v>-6.6423298410775988E-2</c:v>
                </c:pt>
                <c:pt idx="9">
                  <c:v>5.9834653339222221E-2</c:v>
                </c:pt>
                <c:pt idx="10">
                  <c:v>-5.7085163339845257E-2</c:v>
                </c:pt>
                <c:pt idx="11">
                  <c:v>-0.18472714429788395</c:v>
                </c:pt>
                <c:pt idx="12">
                  <c:v>4.1924686255613963E-2</c:v>
                </c:pt>
                <c:pt idx="13">
                  <c:v>-0.16687592855579525</c:v>
                </c:pt>
                <c:pt idx="14">
                  <c:v>7.2531931059068855E-2</c:v>
                </c:pt>
                <c:pt idx="15">
                  <c:v>-0.16596054105676816</c:v>
                </c:pt>
                <c:pt idx="16">
                  <c:v>-5.9709539468793871E-2</c:v>
                </c:pt>
                <c:pt idx="17">
                  <c:v>-8.6528955860885048E-2</c:v>
                </c:pt>
                <c:pt idx="18">
                  <c:v>9.5637927726006655E-2</c:v>
                </c:pt>
                <c:pt idx="19">
                  <c:v>0.12733118058258075</c:v>
                </c:pt>
                <c:pt idx="20">
                  <c:v>3.9022783658200666E-2</c:v>
                </c:pt>
                <c:pt idx="21">
                  <c:v>-0.10956798030551917</c:v>
                </c:pt>
                <c:pt idx="22">
                  <c:v>5.0600567603671376E-2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E2-4C48-A7C5-E849435A0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97488"/>
        <c:axId val="63497968"/>
      </c:scatterChart>
      <c:valAx>
        <c:axId val="63497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left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97968"/>
        <c:crosses val="autoZero"/>
        <c:crossBetween val="midCat"/>
      </c:valAx>
      <c:valAx>
        <c:axId val="634979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9748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dummy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'[1]task 2.5'!$F$31:$F$53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</c:numCache>
            </c:numRef>
          </c:xVal>
          <c:yVal>
            <c:numRef>
              <c:f>[1]MultiLogRegr1stWeek!$C$27:$C$49</c:f>
              <c:numCache>
                <c:formatCode>General</c:formatCode>
                <c:ptCount val="23"/>
                <c:pt idx="0">
                  <c:v>8.3594374618908063E-2</c:v>
                </c:pt>
                <c:pt idx="1">
                  <c:v>9.3180478807264988E-2</c:v>
                </c:pt>
                <c:pt idx="2">
                  <c:v>0.11029390389860527</c:v>
                </c:pt>
                <c:pt idx="3">
                  <c:v>-6.4549164715763663E-2</c:v>
                </c:pt>
                <c:pt idx="4">
                  <c:v>6.0495851454011706E-2</c:v>
                </c:pt>
                <c:pt idx="5">
                  <c:v>1.1401233257893217E-2</c:v>
                </c:pt>
                <c:pt idx="6">
                  <c:v>5.3947923951579657E-2</c:v>
                </c:pt>
                <c:pt idx="7">
                  <c:v>6.1630219799396535E-2</c:v>
                </c:pt>
                <c:pt idx="8">
                  <c:v>-6.6423298410775988E-2</c:v>
                </c:pt>
                <c:pt idx="9">
                  <c:v>5.9834653339222221E-2</c:v>
                </c:pt>
                <c:pt idx="10">
                  <c:v>-5.7085163339845257E-2</c:v>
                </c:pt>
                <c:pt idx="11">
                  <c:v>-0.18472714429788395</c:v>
                </c:pt>
                <c:pt idx="12">
                  <c:v>4.1924686255613963E-2</c:v>
                </c:pt>
                <c:pt idx="13">
                  <c:v>-0.16687592855579525</c:v>
                </c:pt>
                <c:pt idx="14">
                  <c:v>7.2531931059068855E-2</c:v>
                </c:pt>
                <c:pt idx="15">
                  <c:v>-0.16596054105676816</c:v>
                </c:pt>
                <c:pt idx="16">
                  <c:v>-5.9709539468793871E-2</c:v>
                </c:pt>
                <c:pt idx="17">
                  <c:v>-8.6528955860885048E-2</c:v>
                </c:pt>
                <c:pt idx="18">
                  <c:v>9.5637927726006655E-2</c:v>
                </c:pt>
                <c:pt idx="19">
                  <c:v>0.12733118058258075</c:v>
                </c:pt>
                <c:pt idx="20">
                  <c:v>3.9022783658200666E-2</c:v>
                </c:pt>
                <c:pt idx="21">
                  <c:v>-0.10956798030551917</c:v>
                </c:pt>
                <c:pt idx="22">
                  <c:v>5.0600567603671376E-2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CF-4DD2-A8BF-7E1E182D6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98928"/>
        <c:axId val="63500368"/>
      </c:scatterChart>
      <c:valAx>
        <c:axId val="63498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dummy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500368"/>
        <c:crosses val="autoZero"/>
        <c:crossBetween val="midCat"/>
      </c:valAx>
      <c:valAx>
        <c:axId val="635003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9892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log units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1st week</c:v>
          </c:tx>
          <c:spPr>
            <a:ln w="19050">
              <a:noFill/>
            </a:ln>
          </c:spPr>
          <c:xVal>
            <c:numRef>
              <c:f>'[1]task 2.5'!$D$31:$D$53</c:f>
              <c:numCache>
                <c:formatCode>General</c:formatCode>
                <c:ptCount val="23"/>
                <c:pt idx="0">
                  <c:v>2.2380461031287955</c:v>
                </c:pt>
                <c:pt idx="1">
                  <c:v>2.2922560713564759</c:v>
                </c:pt>
                <c:pt idx="2">
                  <c:v>2.2900346113625178</c:v>
                </c:pt>
                <c:pt idx="3">
                  <c:v>2.3222192947339191</c:v>
                </c:pt>
                <c:pt idx="4">
                  <c:v>2.4638929889859074</c:v>
                </c:pt>
                <c:pt idx="5">
                  <c:v>2.2304489213782741</c:v>
                </c:pt>
                <c:pt idx="6">
                  <c:v>2.4014005407815442</c:v>
                </c:pt>
                <c:pt idx="7">
                  <c:v>2.716003343634799</c:v>
                </c:pt>
                <c:pt idx="8">
                  <c:v>2.214843848047698</c:v>
                </c:pt>
                <c:pt idx="9">
                  <c:v>2.1303337684950061</c:v>
                </c:pt>
                <c:pt idx="10">
                  <c:v>2.1846914308175989</c:v>
                </c:pt>
                <c:pt idx="11">
                  <c:v>2.5078558716958308</c:v>
                </c:pt>
                <c:pt idx="12">
                  <c:v>2.4742162640762553</c:v>
                </c:pt>
                <c:pt idx="13">
                  <c:v>2.1238516409670858</c:v>
                </c:pt>
                <c:pt idx="14">
                  <c:v>2.2833012287035497</c:v>
                </c:pt>
                <c:pt idx="15">
                  <c:v>2.2966651902615309</c:v>
                </c:pt>
                <c:pt idx="16">
                  <c:v>2.9960736544852753</c:v>
                </c:pt>
                <c:pt idx="17">
                  <c:v>3.0948203803548</c:v>
                </c:pt>
                <c:pt idx="18">
                  <c:v>2.9319661147281728</c:v>
                </c:pt>
                <c:pt idx="19">
                  <c:v>2.4638929889859074</c:v>
                </c:pt>
                <c:pt idx="20">
                  <c:v>2.1553360374650619</c:v>
                </c:pt>
                <c:pt idx="21">
                  <c:v>2.403120521175818</c:v>
                </c:pt>
                <c:pt idx="22">
                  <c:v>2.5854607295085006</c:v>
                </c:pt>
              </c:numCache>
            </c:numRef>
          </c:xVal>
          <c:yVal>
            <c:numRef>
              <c:f>'[1]task 2.5'!$C$31:$C$53</c:f>
              <c:numCache>
                <c:formatCode>General</c:formatCode>
                <c:ptCount val="23"/>
                <c:pt idx="0">
                  <c:v>1.968482948553935</c:v>
                </c:pt>
                <c:pt idx="1">
                  <c:v>2.0334237554869499</c:v>
                </c:pt>
                <c:pt idx="2">
                  <c:v>2.1903316981702914</c:v>
                </c:pt>
                <c:pt idx="3">
                  <c:v>2.012837224705172</c:v>
                </c:pt>
                <c:pt idx="4">
                  <c:v>2.3180633349627615</c:v>
                </c:pt>
                <c:pt idx="5">
                  <c:v>2.012837224705172</c:v>
                </c:pt>
                <c:pt idx="6">
                  <c:v>2.2121876044039577</c:v>
                </c:pt>
                <c:pt idx="7">
                  <c:v>2.4345689040341987</c:v>
                </c:pt>
                <c:pt idx="8">
                  <c:v>1.919078092376074</c:v>
                </c:pt>
                <c:pt idx="9">
                  <c:v>1.9590413923210936</c:v>
                </c:pt>
                <c:pt idx="10">
                  <c:v>1.8976270912904414</c:v>
                </c:pt>
                <c:pt idx="11">
                  <c:v>2.0644579892269186</c:v>
                </c:pt>
                <c:pt idx="12">
                  <c:v>2.0791812460476247</c:v>
                </c:pt>
                <c:pt idx="13">
                  <c:v>1.6901960800285136</c:v>
                </c:pt>
                <c:pt idx="14">
                  <c:v>2.0569048513364727</c:v>
                </c:pt>
                <c:pt idx="15">
                  <c:v>1.9030899869919435</c:v>
                </c:pt>
                <c:pt idx="16">
                  <c:v>2.1335389083702174</c:v>
                </c:pt>
                <c:pt idx="17">
                  <c:v>2.2253092817258628</c:v>
                </c:pt>
                <c:pt idx="18">
                  <c:v>2.3654879848908998</c:v>
                </c:pt>
                <c:pt idx="19">
                  <c:v>2.3138672203691533</c:v>
                </c:pt>
                <c:pt idx="20">
                  <c:v>2.0170333392987803</c:v>
                </c:pt>
                <c:pt idx="21">
                  <c:v>2.0681858617461617</c:v>
                </c:pt>
                <c:pt idx="22">
                  <c:v>2.2329961103921536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D5-47A3-AE06-21D1DF2CA675}"/>
            </c:ext>
          </c:extLst>
        </c:ser>
        <c:ser>
          <c:idx val="1"/>
          <c:order val="1"/>
          <c:tx>
            <c:v>Predicted Log 1st week</c:v>
          </c:tx>
          <c:spPr>
            <a:ln w="19050">
              <a:noFill/>
            </a:ln>
          </c:spPr>
          <c:xVal>
            <c:numRef>
              <c:f>'[1]task 2.5'!$D$31:$D$53</c:f>
              <c:numCache>
                <c:formatCode>General</c:formatCode>
                <c:ptCount val="23"/>
                <c:pt idx="0">
                  <c:v>2.2380461031287955</c:v>
                </c:pt>
                <c:pt idx="1">
                  <c:v>2.2922560713564759</c:v>
                </c:pt>
                <c:pt idx="2">
                  <c:v>2.2900346113625178</c:v>
                </c:pt>
                <c:pt idx="3">
                  <c:v>2.3222192947339191</c:v>
                </c:pt>
                <c:pt idx="4">
                  <c:v>2.4638929889859074</c:v>
                </c:pt>
                <c:pt idx="5">
                  <c:v>2.2304489213782741</c:v>
                </c:pt>
                <c:pt idx="6">
                  <c:v>2.4014005407815442</c:v>
                </c:pt>
                <c:pt idx="7">
                  <c:v>2.716003343634799</c:v>
                </c:pt>
                <c:pt idx="8">
                  <c:v>2.214843848047698</c:v>
                </c:pt>
                <c:pt idx="9">
                  <c:v>2.1303337684950061</c:v>
                </c:pt>
                <c:pt idx="10">
                  <c:v>2.1846914308175989</c:v>
                </c:pt>
                <c:pt idx="11">
                  <c:v>2.5078558716958308</c:v>
                </c:pt>
                <c:pt idx="12">
                  <c:v>2.4742162640762553</c:v>
                </c:pt>
                <c:pt idx="13">
                  <c:v>2.1238516409670858</c:v>
                </c:pt>
                <c:pt idx="14">
                  <c:v>2.2833012287035497</c:v>
                </c:pt>
                <c:pt idx="15">
                  <c:v>2.2966651902615309</c:v>
                </c:pt>
                <c:pt idx="16">
                  <c:v>2.9960736544852753</c:v>
                </c:pt>
                <c:pt idx="17">
                  <c:v>3.0948203803548</c:v>
                </c:pt>
                <c:pt idx="18">
                  <c:v>2.9319661147281728</c:v>
                </c:pt>
                <c:pt idx="19">
                  <c:v>2.4638929889859074</c:v>
                </c:pt>
                <c:pt idx="20">
                  <c:v>2.1553360374650619</c:v>
                </c:pt>
                <c:pt idx="21">
                  <c:v>2.403120521175818</c:v>
                </c:pt>
                <c:pt idx="22">
                  <c:v>2.5854607295085006</c:v>
                </c:pt>
              </c:numCache>
            </c:numRef>
          </c:xVal>
          <c:yVal>
            <c:numRef>
              <c:f>[1]MultiLogRegr1stWeek!$B$27:$B$49</c:f>
              <c:numCache>
                <c:formatCode>General</c:formatCode>
                <c:ptCount val="23"/>
                <c:pt idx="0">
                  <c:v>1.884888573935027</c:v>
                </c:pt>
                <c:pt idx="1">
                  <c:v>1.9402432766796849</c:v>
                </c:pt>
                <c:pt idx="2">
                  <c:v>2.0800377942716861</c:v>
                </c:pt>
                <c:pt idx="3">
                  <c:v>2.0773863894209357</c:v>
                </c:pt>
                <c:pt idx="4">
                  <c:v>2.2575674835087498</c:v>
                </c:pt>
                <c:pt idx="5">
                  <c:v>2.0014359914472788</c:v>
                </c:pt>
                <c:pt idx="6">
                  <c:v>2.158239680452378</c:v>
                </c:pt>
                <c:pt idx="7">
                  <c:v>2.3729386842348021</c:v>
                </c:pt>
                <c:pt idx="8">
                  <c:v>1.98550139078685</c:v>
                </c:pt>
                <c:pt idx="9">
                  <c:v>1.8992067389818714</c:v>
                </c:pt>
                <c:pt idx="10">
                  <c:v>1.9547122546302866</c:v>
                </c:pt>
                <c:pt idx="11">
                  <c:v>2.2491851335248025</c:v>
                </c:pt>
                <c:pt idx="12">
                  <c:v>2.0372565597920107</c:v>
                </c:pt>
                <c:pt idx="13">
                  <c:v>1.8570720085843089</c:v>
                </c:pt>
                <c:pt idx="14">
                  <c:v>1.9843729202774039</c:v>
                </c:pt>
                <c:pt idx="15">
                  <c:v>2.0690505280487117</c:v>
                </c:pt>
                <c:pt idx="16">
                  <c:v>2.1932484478390113</c:v>
                </c:pt>
                <c:pt idx="17">
                  <c:v>2.3118382375867479</c:v>
                </c:pt>
                <c:pt idx="18">
                  <c:v>2.2698500571648932</c:v>
                </c:pt>
                <c:pt idx="19">
                  <c:v>2.1865360397865725</c:v>
                </c:pt>
                <c:pt idx="20">
                  <c:v>1.9780105556405796</c:v>
                </c:pt>
                <c:pt idx="21">
                  <c:v>2.1777538420516809</c:v>
                </c:pt>
                <c:pt idx="22">
                  <c:v>2.1823955427884822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D5-47A3-AE06-21D1DF2CA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97008"/>
        <c:axId val="63503248"/>
      </c:scatterChart>
      <c:valAx>
        <c:axId val="63497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 units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503248"/>
        <c:crosses val="autoZero"/>
        <c:crossBetween val="midCat"/>
      </c:valAx>
      <c:valAx>
        <c:axId val="635032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 1st week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970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Days left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1st week</c:v>
          </c:tx>
          <c:spPr>
            <a:ln w="19050">
              <a:noFill/>
            </a:ln>
          </c:spPr>
          <c:xVal>
            <c:numRef>
              <c:f>'[1]task 2.5'!$E$31:$E$53</c:f>
              <c:numCache>
                <c:formatCode>General</c:formatCode>
                <c:ptCount val="23"/>
                <c:pt idx="0">
                  <c:v>14</c:v>
                </c:pt>
                <c:pt idx="1">
                  <c:v>14</c:v>
                </c:pt>
                <c:pt idx="2">
                  <c:v>6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14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9</c:v>
                </c:pt>
                <c:pt idx="12">
                  <c:v>19</c:v>
                </c:pt>
                <c:pt idx="13">
                  <c:v>9</c:v>
                </c:pt>
                <c:pt idx="14">
                  <c:v>11</c:v>
                </c:pt>
                <c:pt idx="15">
                  <c:v>7</c:v>
                </c:pt>
                <c:pt idx="16">
                  <c:v>29</c:v>
                </c:pt>
                <c:pt idx="17">
                  <c:v>28</c:v>
                </c:pt>
                <c:pt idx="18">
                  <c:v>21</c:v>
                </c:pt>
                <c:pt idx="19">
                  <c:v>10</c:v>
                </c:pt>
                <c:pt idx="20">
                  <c:v>4</c:v>
                </c:pt>
                <c:pt idx="21">
                  <c:v>7</c:v>
                </c:pt>
                <c:pt idx="22">
                  <c:v>6</c:v>
                </c:pt>
              </c:numCache>
            </c:numRef>
          </c:xVal>
          <c:yVal>
            <c:numRef>
              <c:f>'[1]task 2.5'!$C$31:$C$53</c:f>
              <c:numCache>
                <c:formatCode>General</c:formatCode>
                <c:ptCount val="23"/>
                <c:pt idx="0">
                  <c:v>1.968482948553935</c:v>
                </c:pt>
                <c:pt idx="1">
                  <c:v>2.0334237554869499</c:v>
                </c:pt>
                <c:pt idx="2">
                  <c:v>2.1903316981702914</c:v>
                </c:pt>
                <c:pt idx="3">
                  <c:v>2.012837224705172</c:v>
                </c:pt>
                <c:pt idx="4">
                  <c:v>2.3180633349627615</c:v>
                </c:pt>
                <c:pt idx="5">
                  <c:v>2.012837224705172</c:v>
                </c:pt>
                <c:pt idx="6">
                  <c:v>2.2121876044039577</c:v>
                </c:pt>
                <c:pt idx="7">
                  <c:v>2.4345689040341987</c:v>
                </c:pt>
                <c:pt idx="8">
                  <c:v>1.919078092376074</c:v>
                </c:pt>
                <c:pt idx="9">
                  <c:v>1.9590413923210936</c:v>
                </c:pt>
                <c:pt idx="10">
                  <c:v>1.8976270912904414</c:v>
                </c:pt>
                <c:pt idx="11">
                  <c:v>2.0644579892269186</c:v>
                </c:pt>
                <c:pt idx="12">
                  <c:v>2.0791812460476247</c:v>
                </c:pt>
                <c:pt idx="13">
                  <c:v>1.6901960800285136</c:v>
                </c:pt>
                <c:pt idx="14">
                  <c:v>2.0569048513364727</c:v>
                </c:pt>
                <c:pt idx="15">
                  <c:v>1.9030899869919435</c:v>
                </c:pt>
                <c:pt idx="16">
                  <c:v>2.1335389083702174</c:v>
                </c:pt>
                <c:pt idx="17">
                  <c:v>2.2253092817258628</c:v>
                </c:pt>
                <c:pt idx="18">
                  <c:v>2.3654879848908998</c:v>
                </c:pt>
                <c:pt idx="19">
                  <c:v>2.3138672203691533</c:v>
                </c:pt>
                <c:pt idx="20">
                  <c:v>2.0170333392987803</c:v>
                </c:pt>
                <c:pt idx="21">
                  <c:v>2.0681858617461617</c:v>
                </c:pt>
                <c:pt idx="22">
                  <c:v>2.2329961103921536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9B-4030-AA08-D299663EFBA3}"/>
            </c:ext>
          </c:extLst>
        </c:ser>
        <c:ser>
          <c:idx val="1"/>
          <c:order val="1"/>
          <c:tx>
            <c:v>Predicted Log 1st week</c:v>
          </c:tx>
          <c:spPr>
            <a:ln w="19050">
              <a:noFill/>
            </a:ln>
          </c:spPr>
          <c:xVal>
            <c:numRef>
              <c:f>'[1]task 2.5'!$E$31:$E$53</c:f>
              <c:numCache>
                <c:formatCode>General</c:formatCode>
                <c:ptCount val="23"/>
                <c:pt idx="0">
                  <c:v>14</c:v>
                </c:pt>
                <c:pt idx="1">
                  <c:v>14</c:v>
                </c:pt>
                <c:pt idx="2">
                  <c:v>6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14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9</c:v>
                </c:pt>
                <c:pt idx="12">
                  <c:v>19</c:v>
                </c:pt>
                <c:pt idx="13">
                  <c:v>9</c:v>
                </c:pt>
                <c:pt idx="14">
                  <c:v>11</c:v>
                </c:pt>
                <c:pt idx="15">
                  <c:v>7</c:v>
                </c:pt>
                <c:pt idx="16">
                  <c:v>29</c:v>
                </c:pt>
                <c:pt idx="17">
                  <c:v>28</c:v>
                </c:pt>
                <c:pt idx="18">
                  <c:v>21</c:v>
                </c:pt>
                <c:pt idx="19">
                  <c:v>10</c:v>
                </c:pt>
                <c:pt idx="20">
                  <c:v>4</c:v>
                </c:pt>
                <c:pt idx="21">
                  <c:v>7</c:v>
                </c:pt>
                <c:pt idx="22">
                  <c:v>6</c:v>
                </c:pt>
              </c:numCache>
            </c:numRef>
          </c:xVal>
          <c:yVal>
            <c:numRef>
              <c:f>[1]MultiLogRegr1stWeek!$B$27:$B$49</c:f>
              <c:numCache>
                <c:formatCode>General</c:formatCode>
                <c:ptCount val="23"/>
                <c:pt idx="0">
                  <c:v>1.884888573935027</c:v>
                </c:pt>
                <c:pt idx="1">
                  <c:v>1.9402432766796849</c:v>
                </c:pt>
                <c:pt idx="2">
                  <c:v>2.0800377942716861</c:v>
                </c:pt>
                <c:pt idx="3">
                  <c:v>2.0773863894209357</c:v>
                </c:pt>
                <c:pt idx="4">
                  <c:v>2.2575674835087498</c:v>
                </c:pt>
                <c:pt idx="5">
                  <c:v>2.0014359914472788</c:v>
                </c:pt>
                <c:pt idx="6">
                  <c:v>2.158239680452378</c:v>
                </c:pt>
                <c:pt idx="7">
                  <c:v>2.3729386842348021</c:v>
                </c:pt>
                <c:pt idx="8">
                  <c:v>1.98550139078685</c:v>
                </c:pt>
                <c:pt idx="9">
                  <c:v>1.8992067389818714</c:v>
                </c:pt>
                <c:pt idx="10">
                  <c:v>1.9547122546302866</c:v>
                </c:pt>
                <c:pt idx="11">
                  <c:v>2.2491851335248025</c:v>
                </c:pt>
                <c:pt idx="12">
                  <c:v>2.0372565597920107</c:v>
                </c:pt>
                <c:pt idx="13">
                  <c:v>1.8570720085843089</c:v>
                </c:pt>
                <c:pt idx="14">
                  <c:v>1.9843729202774039</c:v>
                </c:pt>
                <c:pt idx="15">
                  <c:v>2.0690505280487117</c:v>
                </c:pt>
                <c:pt idx="16">
                  <c:v>2.1932484478390113</c:v>
                </c:pt>
                <c:pt idx="17">
                  <c:v>2.3118382375867479</c:v>
                </c:pt>
                <c:pt idx="18">
                  <c:v>2.2698500571648932</c:v>
                </c:pt>
                <c:pt idx="19">
                  <c:v>2.1865360397865725</c:v>
                </c:pt>
                <c:pt idx="20">
                  <c:v>1.9780105556405796</c:v>
                </c:pt>
                <c:pt idx="21">
                  <c:v>2.1777538420516809</c:v>
                </c:pt>
                <c:pt idx="22">
                  <c:v>2.1823955427884822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9B-4030-AA08-D299663EF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4208"/>
        <c:axId val="63506608"/>
      </c:scatterChart>
      <c:valAx>
        <c:axId val="6350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left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506608"/>
        <c:crosses val="autoZero"/>
        <c:crossBetween val="midCat"/>
      </c:valAx>
      <c:valAx>
        <c:axId val="635066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 1st week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5042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dummy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1st week</c:v>
          </c:tx>
          <c:spPr>
            <a:ln w="19050">
              <a:noFill/>
            </a:ln>
          </c:spPr>
          <c:xVal>
            <c:numRef>
              <c:f>'[1]task 2.5'!$F$31:$F$53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</c:numCache>
            </c:numRef>
          </c:xVal>
          <c:yVal>
            <c:numRef>
              <c:f>'[1]task 2.5'!$C$31:$C$53</c:f>
              <c:numCache>
                <c:formatCode>General</c:formatCode>
                <c:ptCount val="23"/>
                <c:pt idx="0">
                  <c:v>1.968482948553935</c:v>
                </c:pt>
                <c:pt idx="1">
                  <c:v>2.0334237554869499</c:v>
                </c:pt>
                <c:pt idx="2">
                  <c:v>2.1903316981702914</c:v>
                </c:pt>
                <c:pt idx="3">
                  <c:v>2.012837224705172</c:v>
                </c:pt>
                <c:pt idx="4">
                  <c:v>2.3180633349627615</c:v>
                </c:pt>
                <c:pt idx="5">
                  <c:v>2.012837224705172</c:v>
                </c:pt>
                <c:pt idx="6">
                  <c:v>2.2121876044039577</c:v>
                </c:pt>
                <c:pt idx="7">
                  <c:v>2.4345689040341987</c:v>
                </c:pt>
                <c:pt idx="8">
                  <c:v>1.919078092376074</c:v>
                </c:pt>
                <c:pt idx="9">
                  <c:v>1.9590413923210936</c:v>
                </c:pt>
                <c:pt idx="10">
                  <c:v>1.8976270912904414</c:v>
                </c:pt>
                <c:pt idx="11">
                  <c:v>2.0644579892269186</c:v>
                </c:pt>
                <c:pt idx="12">
                  <c:v>2.0791812460476247</c:v>
                </c:pt>
                <c:pt idx="13">
                  <c:v>1.6901960800285136</c:v>
                </c:pt>
                <c:pt idx="14">
                  <c:v>2.0569048513364727</c:v>
                </c:pt>
                <c:pt idx="15">
                  <c:v>1.9030899869919435</c:v>
                </c:pt>
                <c:pt idx="16">
                  <c:v>2.1335389083702174</c:v>
                </c:pt>
                <c:pt idx="17">
                  <c:v>2.2253092817258628</c:v>
                </c:pt>
                <c:pt idx="18">
                  <c:v>2.3654879848908998</c:v>
                </c:pt>
                <c:pt idx="19">
                  <c:v>2.3138672203691533</c:v>
                </c:pt>
                <c:pt idx="20">
                  <c:v>2.0170333392987803</c:v>
                </c:pt>
                <c:pt idx="21">
                  <c:v>2.0681858617461617</c:v>
                </c:pt>
                <c:pt idx="22">
                  <c:v>2.2329961103921536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80-49D7-8E21-8D3BE1D40215}"/>
            </c:ext>
          </c:extLst>
        </c:ser>
        <c:ser>
          <c:idx val="1"/>
          <c:order val="1"/>
          <c:tx>
            <c:v>Predicted Log 1st week</c:v>
          </c:tx>
          <c:spPr>
            <a:ln w="19050">
              <a:noFill/>
            </a:ln>
          </c:spPr>
          <c:xVal>
            <c:numRef>
              <c:f>'[1]task 2.5'!$F$31:$F$53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</c:numCache>
            </c:numRef>
          </c:xVal>
          <c:yVal>
            <c:numRef>
              <c:f>[1]MultiLogRegr1stWeek!$B$27:$B$49</c:f>
              <c:numCache>
                <c:formatCode>General</c:formatCode>
                <c:ptCount val="23"/>
                <c:pt idx="0">
                  <c:v>1.884888573935027</c:v>
                </c:pt>
                <c:pt idx="1">
                  <c:v>1.9402432766796849</c:v>
                </c:pt>
                <c:pt idx="2">
                  <c:v>2.0800377942716861</c:v>
                </c:pt>
                <c:pt idx="3">
                  <c:v>2.0773863894209357</c:v>
                </c:pt>
                <c:pt idx="4">
                  <c:v>2.2575674835087498</c:v>
                </c:pt>
                <c:pt idx="5">
                  <c:v>2.0014359914472788</c:v>
                </c:pt>
                <c:pt idx="6">
                  <c:v>2.158239680452378</c:v>
                </c:pt>
                <c:pt idx="7">
                  <c:v>2.3729386842348021</c:v>
                </c:pt>
                <c:pt idx="8">
                  <c:v>1.98550139078685</c:v>
                </c:pt>
                <c:pt idx="9">
                  <c:v>1.8992067389818714</c:v>
                </c:pt>
                <c:pt idx="10">
                  <c:v>1.9547122546302866</c:v>
                </c:pt>
                <c:pt idx="11">
                  <c:v>2.2491851335248025</c:v>
                </c:pt>
                <c:pt idx="12">
                  <c:v>2.0372565597920107</c:v>
                </c:pt>
                <c:pt idx="13">
                  <c:v>1.8570720085843089</c:v>
                </c:pt>
                <c:pt idx="14">
                  <c:v>1.9843729202774039</c:v>
                </c:pt>
                <c:pt idx="15">
                  <c:v>2.0690505280487117</c:v>
                </c:pt>
                <c:pt idx="16">
                  <c:v>2.1932484478390113</c:v>
                </c:pt>
                <c:pt idx="17">
                  <c:v>2.3118382375867479</c:v>
                </c:pt>
                <c:pt idx="18">
                  <c:v>2.2698500571648932</c:v>
                </c:pt>
                <c:pt idx="19">
                  <c:v>2.1865360397865725</c:v>
                </c:pt>
                <c:pt idx="20">
                  <c:v>1.9780105556405796</c:v>
                </c:pt>
                <c:pt idx="21">
                  <c:v>2.1777538420516809</c:v>
                </c:pt>
                <c:pt idx="22">
                  <c:v>2.1823955427884822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80-49D7-8E21-8D3BE1D40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4208"/>
        <c:axId val="63505168"/>
      </c:scatterChart>
      <c:valAx>
        <c:axId val="6350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dummy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505168"/>
        <c:crosses val="autoZero"/>
        <c:crossBetween val="midCat"/>
      </c:valAx>
      <c:valAx>
        <c:axId val="635051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 1st week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5042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[1]MultiLogRegr1stWeek!$F$27:$F$49</c:f>
              <c:numCache>
                <c:formatCode>General</c:formatCode>
                <c:ptCount val="23"/>
                <c:pt idx="0">
                  <c:v>2.1739130434782608</c:v>
                </c:pt>
                <c:pt idx="1">
                  <c:v>6.5217391304347823</c:v>
                </c:pt>
                <c:pt idx="2">
                  <c:v>10.869565217391305</c:v>
                </c:pt>
                <c:pt idx="3">
                  <c:v>15.217391304347824</c:v>
                </c:pt>
                <c:pt idx="4">
                  <c:v>19.565217391304348</c:v>
                </c:pt>
                <c:pt idx="5">
                  <c:v>23.913043478260871</c:v>
                </c:pt>
                <c:pt idx="6">
                  <c:v>28.260869565217391</c:v>
                </c:pt>
                <c:pt idx="7">
                  <c:v>32.608695652173907</c:v>
                </c:pt>
                <c:pt idx="8">
                  <c:v>36.95652173913043</c:v>
                </c:pt>
                <c:pt idx="9">
                  <c:v>41.304347826086953</c:v>
                </c:pt>
                <c:pt idx="10">
                  <c:v>45.652173913043477</c:v>
                </c:pt>
                <c:pt idx="11">
                  <c:v>49.999999999999993</c:v>
                </c:pt>
                <c:pt idx="12">
                  <c:v>54.347826086956516</c:v>
                </c:pt>
                <c:pt idx="13">
                  <c:v>58.695652173913039</c:v>
                </c:pt>
                <c:pt idx="14">
                  <c:v>63.043478260869556</c:v>
                </c:pt>
                <c:pt idx="15">
                  <c:v>67.391304347826093</c:v>
                </c:pt>
                <c:pt idx="16">
                  <c:v>71.739130434782609</c:v>
                </c:pt>
                <c:pt idx="17">
                  <c:v>76.086956521739125</c:v>
                </c:pt>
                <c:pt idx="18">
                  <c:v>80.434782608695656</c:v>
                </c:pt>
                <c:pt idx="19">
                  <c:v>84.782608695652172</c:v>
                </c:pt>
                <c:pt idx="20">
                  <c:v>89.130434782608702</c:v>
                </c:pt>
                <c:pt idx="21">
                  <c:v>93.478260869565219</c:v>
                </c:pt>
                <c:pt idx="22">
                  <c:v>97.826086956521735</c:v>
                </c:pt>
              </c:numCache>
            </c:numRef>
          </c:xVal>
          <c:yVal>
            <c:numRef>
              <c:f>[1]MultiLogRegr1stWeek!$G$27:$G$49</c:f>
              <c:numCache>
                <c:formatCode>General</c:formatCode>
                <c:ptCount val="23"/>
                <c:pt idx="0">
                  <c:v>1.6901960800285136</c:v>
                </c:pt>
                <c:pt idx="1">
                  <c:v>1.8976270912904414</c:v>
                </c:pt>
                <c:pt idx="2">
                  <c:v>1.9030899869919435</c:v>
                </c:pt>
                <c:pt idx="3">
                  <c:v>1.919078092376074</c:v>
                </c:pt>
                <c:pt idx="4">
                  <c:v>1.9590413923210936</c:v>
                </c:pt>
                <c:pt idx="5">
                  <c:v>1.968482948553935</c:v>
                </c:pt>
                <c:pt idx="6">
                  <c:v>2.012837224705172</c:v>
                </c:pt>
                <c:pt idx="7">
                  <c:v>2.012837224705172</c:v>
                </c:pt>
                <c:pt idx="8">
                  <c:v>2.0170333392987803</c:v>
                </c:pt>
                <c:pt idx="9">
                  <c:v>2.0334237554869499</c:v>
                </c:pt>
                <c:pt idx="10">
                  <c:v>2.0569048513364727</c:v>
                </c:pt>
                <c:pt idx="11">
                  <c:v>2.0644579892269186</c:v>
                </c:pt>
                <c:pt idx="12">
                  <c:v>2.0681858617461617</c:v>
                </c:pt>
                <c:pt idx="13">
                  <c:v>2.0791812460476247</c:v>
                </c:pt>
                <c:pt idx="14">
                  <c:v>2.1335389083702174</c:v>
                </c:pt>
                <c:pt idx="15">
                  <c:v>2.1903316981702914</c:v>
                </c:pt>
                <c:pt idx="16">
                  <c:v>2.2121876044039577</c:v>
                </c:pt>
                <c:pt idx="17">
                  <c:v>2.2253092817258628</c:v>
                </c:pt>
                <c:pt idx="18">
                  <c:v>2.2329961103921536</c:v>
                </c:pt>
                <c:pt idx="19">
                  <c:v>2.3138672203691533</c:v>
                </c:pt>
                <c:pt idx="20">
                  <c:v>2.3180633349627615</c:v>
                </c:pt>
                <c:pt idx="21">
                  <c:v>2.3654879848908998</c:v>
                </c:pt>
                <c:pt idx="22">
                  <c:v>2.4345689040341987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6D-40A1-8A30-8BD1B2A5D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72368"/>
        <c:axId val="63573328"/>
      </c:scatterChart>
      <c:valAx>
        <c:axId val="63572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573328"/>
        <c:crosses val="autoZero"/>
        <c:crossBetween val="midCat"/>
      </c:valAx>
      <c:valAx>
        <c:axId val="63573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 1st week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57236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'[2]task.1.2'!$O$3:$O$25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xVal>
          <c:yVal>
            <c:numRef>
              <c:f>[2]MultLogRegr1!$C$26:$C$48</c:f>
              <c:numCache>
                <c:formatCode>General</c:formatCode>
                <c:ptCount val="23"/>
                <c:pt idx="0">
                  <c:v>-0.26096112851728703</c:v>
                </c:pt>
                <c:pt idx="1">
                  <c:v>-0.20675116028960661</c:v>
                </c:pt>
                <c:pt idx="2">
                  <c:v>2.4078449607543462E-2</c:v>
                </c:pt>
                <c:pt idx="3">
                  <c:v>-1.9996344938322252E-3</c:v>
                </c:pt>
                <c:pt idx="4">
                  <c:v>0.19793682723093298</c:v>
                </c:pt>
                <c:pt idx="5">
                  <c:v>-6.4638624113088738E-2</c:v>
                </c:pt>
                <c:pt idx="6">
                  <c:v>7.7181611553792884E-2</c:v>
                </c:pt>
                <c:pt idx="7">
                  <c:v>0.21699611198871649</c:v>
                </c:pt>
                <c:pt idx="8">
                  <c:v>-8.0243697443664885E-2</c:v>
                </c:pt>
                <c:pt idx="9">
                  <c:v>-0.16475377699635674</c:v>
                </c:pt>
                <c:pt idx="10">
                  <c:v>-0.11039611467376398</c:v>
                </c:pt>
                <c:pt idx="11">
                  <c:v>0.15450555873169103</c:v>
                </c:pt>
                <c:pt idx="12">
                  <c:v>-0.17044788625176999</c:v>
                </c:pt>
                <c:pt idx="13">
                  <c:v>-0.22949867199705398</c:v>
                </c:pt>
                <c:pt idx="14">
                  <c:v>-0.12831185173336701</c:v>
                </c:pt>
                <c:pt idx="15">
                  <c:v>1.5776447701680851E-3</c:v>
                </c:pt>
                <c:pt idx="16">
                  <c:v>6.0095666793365421E-2</c:v>
                </c:pt>
                <c:pt idx="17">
                  <c:v>8.8817841970012523E-16</c:v>
                </c:pt>
                <c:pt idx="18">
                  <c:v>0.22903919692737063</c:v>
                </c:pt>
                <c:pt idx="19">
                  <c:v>8.1411292285378689E-2</c:v>
                </c:pt>
                <c:pt idx="20">
                  <c:v>-5.2357356817135603E-2</c:v>
                </c:pt>
                <c:pt idx="21">
                  <c:v>0.10803297568445513</c:v>
                </c:pt>
                <c:pt idx="22">
                  <c:v>0.3195045677535262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0-4B4F-B5A3-DB3CF0DB7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87151"/>
        <c:axId val="213285711"/>
      </c:scatterChart>
      <c:valAx>
        <c:axId val="213287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285711"/>
        <c:crosses val="autoZero"/>
        <c:crossBetween val="midCat"/>
      </c:valAx>
      <c:valAx>
        <c:axId val="2132857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28715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'[2]task.1.2'!$P$3:$P$25</c:f>
              <c:numCache>
                <c:formatCode>General</c:formatCode>
                <c:ptCount val="23"/>
                <c:pt idx="0">
                  <c:v>21</c:v>
                </c:pt>
                <c:pt idx="1">
                  <c:v>21</c:v>
                </c:pt>
                <c:pt idx="2">
                  <c:v>13</c:v>
                </c:pt>
                <c:pt idx="3">
                  <c:v>15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21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16</c:v>
                </c:pt>
                <c:pt idx="12">
                  <c:v>26</c:v>
                </c:pt>
                <c:pt idx="13">
                  <c:v>16</c:v>
                </c:pt>
                <c:pt idx="14">
                  <c:v>18</c:v>
                </c:pt>
                <c:pt idx="15">
                  <c:v>14</c:v>
                </c:pt>
                <c:pt idx="16">
                  <c:v>36</c:v>
                </c:pt>
                <c:pt idx="17">
                  <c:v>35</c:v>
                </c:pt>
                <c:pt idx="18">
                  <c:v>28</c:v>
                </c:pt>
                <c:pt idx="19">
                  <c:v>17</c:v>
                </c:pt>
                <c:pt idx="20">
                  <c:v>11</c:v>
                </c:pt>
                <c:pt idx="21">
                  <c:v>14</c:v>
                </c:pt>
                <c:pt idx="22">
                  <c:v>13</c:v>
                </c:pt>
              </c:numCache>
            </c:numRef>
          </c:xVal>
          <c:yVal>
            <c:numRef>
              <c:f>[2]MultLogRegr1!$C$26:$C$48</c:f>
              <c:numCache>
                <c:formatCode>General</c:formatCode>
                <c:ptCount val="23"/>
                <c:pt idx="0">
                  <c:v>-0.26096112851728703</c:v>
                </c:pt>
                <c:pt idx="1">
                  <c:v>-0.20675116028960661</c:v>
                </c:pt>
                <c:pt idx="2">
                  <c:v>2.4078449607543462E-2</c:v>
                </c:pt>
                <c:pt idx="3">
                  <c:v>-1.9996344938322252E-3</c:v>
                </c:pt>
                <c:pt idx="4">
                  <c:v>0.19793682723093298</c:v>
                </c:pt>
                <c:pt idx="5">
                  <c:v>-6.4638624113088738E-2</c:v>
                </c:pt>
                <c:pt idx="6">
                  <c:v>7.7181611553792884E-2</c:v>
                </c:pt>
                <c:pt idx="7">
                  <c:v>0.21699611198871649</c:v>
                </c:pt>
                <c:pt idx="8">
                  <c:v>-8.0243697443664885E-2</c:v>
                </c:pt>
                <c:pt idx="9">
                  <c:v>-0.16475377699635674</c:v>
                </c:pt>
                <c:pt idx="10">
                  <c:v>-0.11039611467376398</c:v>
                </c:pt>
                <c:pt idx="11">
                  <c:v>0.15450555873169103</c:v>
                </c:pt>
                <c:pt idx="12">
                  <c:v>-0.17044788625176999</c:v>
                </c:pt>
                <c:pt idx="13">
                  <c:v>-0.22949867199705398</c:v>
                </c:pt>
                <c:pt idx="14">
                  <c:v>-0.12831185173336701</c:v>
                </c:pt>
                <c:pt idx="15">
                  <c:v>1.5776447701680851E-3</c:v>
                </c:pt>
                <c:pt idx="16">
                  <c:v>6.0095666793365421E-2</c:v>
                </c:pt>
                <c:pt idx="17">
                  <c:v>8.8817841970012523E-16</c:v>
                </c:pt>
                <c:pt idx="18">
                  <c:v>0.22903919692737063</c:v>
                </c:pt>
                <c:pt idx="19">
                  <c:v>8.1411292285378689E-2</c:v>
                </c:pt>
                <c:pt idx="20">
                  <c:v>-5.2357356817135603E-2</c:v>
                </c:pt>
                <c:pt idx="21">
                  <c:v>0.10803297568445513</c:v>
                </c:pt>
                <c:pt idx="22">
                  <c:v>0.3195045677535262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92-42BC-9399-D7599F16E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87151"/>
        <c:axId val="349577487"/>
      </c:scatterChart>
      <c:valAx>
        <c:axId val="213287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9577487"/>
        <c:crosses val="autoZero"/>
        <c:crossBetween val="midCat"/>
      </c:valAx>
      <c:valAx>
        <c:axId val="3495774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28715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'[2]task.1.2'!$O$3:$O$25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xVal>
          <c:yVal>
            <c:numRef>
              <c:f>'[2]task.1.2'!$N$3:$N$25</c:f>
              <c:numCache>
                <c:formatCode>General</c:formatCode>
                <c:ptCount val="23"/>
                <c:pt idx="0">
                  <c:v>2.2380461031287955</c:v>
                </c:pt>
                <c:pt idx="1">
                  <c:v>2.2922560713564759</c:v>
                </c:pt>
                <c:pt idx="2">
                  <c:v>2.2900346113625178</c:v>
                </c:pt>
                <c:pt idx="3">
                  <c:v>2.3222192947339191</c:v>
                </c:pt>
                <c:pt idx="4">
                  <c:v>2.4638929889859074</c:v>
                </c:pt>
                <c:pt idx="5">
                  <c:v>2.2304489213782741</c:v>
                </c:pt>
                <c:pt idx="6">
                  <c:v>2.4014005407815442</c:v>
                </c:pt>
                <c:pt idx="7">
                  <c:v>2.716003343634799</c:v>
                </c:pt>
                <c:pt idx="8">
                  <c:v>2.214843848047698</c:v>
                </c:pt>
                <c:pt idx="9">
                  <c:v>2.1303337684950061</c:v>
                </c:pt>
                <c:pt idx="10">
                  <c:v>2.1846914308175989</c:v>
                </c:pt>
                <c:pt idx="11">
                  <c:v>2.5078558716958308</c:v>
                </c:pt>
                <c:pt idx="12">
                  <c:v>2.4742162640762553</c:v>
                </c:pt>
                <c:pt idx="13">
                  <c:v>2.1238516409670858</c:v>
                </c:pt>
                <c:pt idx="14">
                  <c:v>2.2833012287035497</c:v>
                </c:pt>
                <c:pt idx="15">
                  <c:v>2.2966651902615309</c:v>
                </c:pt>
                <c:pt idx="16">
                  <c:v>2.9960736544852753</c:v>
                </c:pt>
                <c:pt idx="17">
                  <c:v>3.0948203803548</c:v>
                </c:pt>
                <c:pt idx="18">
                  <c:v>2.9319661147281728</c:v>
                </c:pt>
                <c:pt idx="19">
                  <c:v>2.4638929889859074</c:v>
                </c:pt>
                <c:pt idx="20">
                  <c:v>2.1553360374650619</c:v>
                </c:pt>
                <c:pt idx="21">
                  <c:v>2.403120521175818</c:v>
                </c:pt>
                <c:pt idx="22">
                  <c:v>2.5854607295085006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0-48C4-8913-9376B4E79EF2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'[2]task.1.2'!$O$3:$O$25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xVal>
          <c:yVal>
            <c:numRef>
              <c:f>[2]MultLogRegr1!$B$26:$B$48</c:f>
              <c:numCache>
                <c:formatCode>General</c:formatCode>
                <c:ptCount val="23"/>
                <c:pt idx="0">
                  <c:v>2.4990072316460825</c:v>
                </c:pt>
                <c:pt idx="1">
                  <c:v>2.4990072316460825</c:v>
                </c:pt>
                <c:pt idx="2">
                  <c:v>2.2659561617549744</c:v>
                </c:pt>
                <c:pt idx="3">
                  <c:v>2.3242189292277513</c:v>
                </c:pt>
                <c:pt idx="4">
                  <c:v>2.2659561617549744</c:v>
                </c:pt>
                <c:pt idx="5">
                  <c:v>2.2950875454913628</c:v>
                </c:pt>
                <c:pt idx="6">
                  <c:v>2.3242189292277513</c:v>
                </c:pt>
                <c:pt idx="7">
                  <c:v>2.4990072316460825</c:v>
                </c:pt>
                <c:pt idx="8">
                  <c:v>2.2950875454913628</c:v>
                </c:pt>
                <c:pt idx="9">
                  <c:v>2.2950875454913628</c:v>
                </c:pt>
                <c:pt idx="10">
                  <c:v>2.2950875454913628</c:v>
                </c:pt>
                <c:pt idx="11">
                  <c:v>2.3533503129641398</c:v>
                </c:pt>
                <c:pt idx="12">
                  <c:v>2.6446641503280253</c:v>
                </c:pt>
                <c:pt idx="13">
                  <c:v>2.3533503129641398</c:v>
                </c:pt>
                <c:pt idx="14">
                  <c:v>2.4116130804369167</c:v>
                </c:pt>
                <c:pt idx="15">
                  <c:v>2.2950875454913628</c:v>
                </c:pt>
                <c:pt idx="16">
                  <c:v>2.9359779876919099</c:v>
                </c:pt>
                <c:pt idx="17">
                  <c:v>3.0948203803547991</c:v>
                </c:pt>
                <c:pt idx="18">
                  <c:v>2.7029269178008022</c:v>
                </c:pt>
                <c:pt idx="19">
                  <c:v>2.3824816967005287</c:v>
                </c:pt>
                <c:pt idx="20">
                  <c:v>2.2076933942821975</c:v>
                </c:pt>
                <c:pt idx="21">
                  <c:v>2.2950875454913628</c:v>
                </c:pt>
                <c:pt idx="22">
                  <c:v>2.2659561617549744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C0-48C4-8913-9376B4E79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989695"/>
        <c:axId val="1478991135"/>
      </c:scatterChart>
      <c:valAx>
        <c:axId val="1478989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8991135"/>
        <c:crosses val="autoZero"/>
        <c:crossBetween val="midCat"/>
      </c:valAx>
      <c:valAx>
        <c:axId val="14789911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89896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'[2]task.1.2'!$P$3:$P$25</c:f>
              <c:numCache>
                <c:formatCode>General</c:formatCode>
                <c:ptCount val="23"/>
                <c:pt idx="0">
                  <c:v>21</c:v>
                </c:pt>
                <c:pt idx="1">
                  <c:v>21</c:v>
                </c:pt>
                <c:pt idx="2">
                  <c:v>13</c:v>
                </c:pt>
                <c:pt idx="3">
                  <c:v>15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21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16</c:v>
                </c:pt>
                <c:pt idx="12">
                  <c:v>26</c:v>
                </c:pt>
                <c:pt idx="13">
                  <c:v>16</c:v>
                </c:pt>
                <c:pt idx="14">
                  <c:v>18</c:v>
                </c:pt>
                <c:pt idx="15">
                  <c:v>14</c:v>
                </c:pt>
                <c:pt idx="16">
                  <c:v>36</c:v>
                </c:pt>
                <c:pt idx="17">
                  <c:v>35</c:v>
                </c:pt>
                <c:pt idx="18">
                  <c:v>28</c:v>
                </c:pt>
                <c:pt idx="19">
                  <c:v>17</c:v>
                </c:pt>
                <c:pt idx="20">
                  <c:v>11</c:v>
                </c:pt>
                <c:pt idx="21">
                  <c:v>14</c:v>
                </c:pt>
                <c:pt idx="22">
                  <c:v>13</c:v>
                </c:pt>
              </c:numCache>
            </c:numRef>
          </c:xVal>
          <c:yVal>
            <c:numRef>
              <c:f>'[2]task.1.2'!$N$3:$N$25</c:f>
              <c:numCache>
                <c:formatCode>General</c:formatCode>
                <c:ptCount val="23"/>
                <c:pt idx="0">
                  <c:v>2.2380461031287955</c:v>
                </c:pt>
                <c:pt idx="1">
                  <c:v>2.2922560713564759</c:v>
                </c:pt>
                <c:pt idx="2">
                  <c:v>2.2900346113625178</c:v>
                </c:pt>
                <c:pt idx="3">
                  <c:v>2.3222192947339191</c:v>
                </c:pt>
                <c:pt idx="4">
                  <c:v>2.4638929889859074</c:v>
                </c:pt>
                <c:pt idx="5">
                  <c:v>2.2304489213782741</c:v>
                </c:pt>
                <c:pt idx="6">
                  <c:v>2.4014005407815442</c:v>
                </c:pt>
                <c:pt idx="7">
                  <c:v>2.716003343634799</c:v>
                </c:pt>
                <c:pt idx="8">
                  <c:v>2.214843848047698</c:v>
                </c:pt>
                <c:pt idx="9">
                  <c:v>2.1303337684950061</c:v>
                </c:pt>
                <c:pt idx="10">
                  <c:v>2.1846914308175989</c:v>
                </c:pt>
                <c:pt idx="11">
                  <c:v>2.5078558716958308</c:v>
                </c:pt>
                <c:pt idx="12">
                  <c:v>2.4742162640762553</c:v>
                </c:pt>
                <c:pt idx="13">
                  <c:v>2.1238516409670858</c:v>
                </c:pt>
                <c:pt idx="14">
                  <c:v>2.2833012287035497</c:v>
                </c:pt>
                <c:pt idx="15">
                  <c:v>2.2966651902615309</c:v>
                </c:pt>
                <c:pt idx="16">
                  <c:v>2.9960736544852753</c:v>
                </c:pt>
                <c:pt idx="17">
                  <c:v>3.0948203803548</c:v>
                </c:pt>
                <c:pt idx="18">
                  <c:v>2.9319661147281728</c:v>
                </c:pt>
                <c:pt idx="19">
                  <c:v>2.4638929889859074</c:v>
                </c:pt>
                <c:pt idx="20">
                  <c:v>2.1553360374650619</c:v>
                </c:pt>
                <c:pt idx="21">
                  <c:v>2.403120521175818</c:v>
                </c:pt>
                <c:pt idx="22">
                  <c:v>2.5854607295085006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80-4948-B9BE-4C9547F611C6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'[2]task.1.2'!$P$3:$P$25</c:f>
              <c:numCache>
                <c:formatCode>General</c:formatCode>
                <c:ptCount val="23"/>
                <c:pt idx="0">
                  <c:v>21</c:v>
                </c:pt>
                <c:pt idx="1">
                  <c:v>21</c:v>
                </c:pt>
                <c:pt idx="2">
                  <c:v>13</c:v>
                </c:pt>
                <c:pt idx="3">
                  <c:v>15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21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16</c:v>
                </c:pt>
                <c:pt idx="12">
                  <c:v>26</c:v>
                </c:pt>
                <c:pt idx="13">
                  <c:v>16</c:v>
                </c:pt>
                <c:pt idx="14">
                  <c:v>18</c:v>
                </c:pt>
                <c:pt idx="15">
                  <c:v>14</c:v>
                </c:pt>
                <c:pt idx="16">
                  <c:v>36</c:v>
                </c:pt>
                <c:pt idx="17">
                  <c:v>35</c:v>
                </c:pt>
                <c:pt idx="18">
                  <c:v>28</c:v>
                </c:pt>
                <c:pt idx="19">
                  <c:v>17</c:v>
                </c:pt>
                <c:pt idx="20">
                  <c:v>11</c:v>
                </c:pt>
                <c:pt idx="21">
                  <c:v>14</c:v>
                </c:pt>
                <c:pt idx="22">
                  <c:v>13</c:v>
                </c:pt>
              </c:numCache>
            </c:numRef>
          </c:xVal>
          <c:yVal>
            <c:numRef>
              <c:f>[2]MultLogRegr1!$B$26:$B$48</c:f>
              <c:numCache>
                <c:formatCode>General</c:formatCode>
                <c:ptCount val="23"/>
                <c:pt idx="0">
                  <c:v>2.4990072316460825</c:v>
                </c:pt>
                <c:pt idx="1">
                  <c:v>2.4990072316460825</c:v>
                </c:pt>
                <c:pt idx="2">
                  <c:v>2.2659561617549744</c:v>
                </c:pt>
                <c:pt idx="3">
                  <c:v>2.3242189292277513</c:v>
                </c:pt>
                <c:pt idx="4">
                  <c:v>2.2659561617549744</c:v>
                </c:pt>
                <c:pt idx="5">
                  <c:v>2.2950875454913628</c:v>
                </c:pt>
                <c:pt idx="6">
                  <c:v>2.3242189292277513</c:v>
                </c:pt>
                <c:pt idx="7">
                  <c:v>2.4990072316460825</c:v>
                </c:pt>
                <c:pt idx="8">
                  <c:v>2.2950875454913628</c:v>
                </c:pt>
                <c:pt idx="9">
                  <c:v>2.2950875454913628</c:v>
                </c:pt>
                <c:pt idx="10">
                  <c:v>2.2950875454913628</c:v>
                </c:pt>
                <c:pt idx="11">
                  <c:v>2.3533503129641398</c:v>
                </c:pt>
                <c:pt idx="12">
                  <c:v>2.6446641503280253</c:v>
                </c:pt>
                <c:pt idx="13">
                  <c:v>2.3533503129641398</c:v>
                </c:pt>
                <c:pt idx="14">
                  <c:v>2.4116130804369167</c:v>
                </c:pt>
                <c:pt idx="15">
                  <c:v>2.2950875454913628</c:v>
                </c:pt>
                <c:pt idx="16">
                  <c:v>2.9359779876919099</c:v>
                </c:pt>
                <c:pt idx="17">
                  <c:v>3.0948203803547991</c:v>
                </c:pt>
                <c:pt idx="18">
                  <c:v>2.7029269178008022</c:v>
                </c:pt>
                <c:pt idx="19">
                  <c:v>2.3824816967005287</c:v>
                </c:pt>
                <c:pt idx="20">
                  <c:v>2.2076933942821975</c:v>
                </c:pt>
                <c:pt idx="21">
                  <c:v>2.2950875454913628</c:v>
                </c:pt>
                <c:pt idx="22">
                  <c:v>2.2659561617549744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80-4948-B9BE-4C9547F61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20383"/>
        <c:axId val="349578927"/>
      </c:scatterChart>
      <c:valAx>
        <c:axId val="54720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9578927"/>
        <c:crosses val="autoZero"/>
        <c:crossBetween val="midCat"/>
      </c:valAx>
      <c:valAx>
        <c:axId val="3495789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72038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[2]MultLogRegr1!$F$26:$F$48</c:f>
              <c:numCache>
                <c:formatCode>General</c:formatCode>
                <c:ptCount val="23"/>
                <c:pt idx="0">
                  <c:v>2.1739130434782608</c:v>
                </c:pt>
                <c:pt idx="1">
                  <c:v>6.5217391304347823</c:v>
                </c:pt>
                <c:pt idx="2">
                  <c:v>10.869565217391305</c:v>
                </c:pt>
                <c:pt idx="3">
                  <c:v>15.217391304347824</c:v>
                </c:pt>
                <c:pt idx="4">
                  <c:v>19.565217391304348</c:v>
                </c:pt>
                <c:pt idx="5">
                  <c:v>23.913043478260871</c:v>
                </c:pt>
                <c:pt idx="6">
                  <c:v>28.260869565217391</c:v>
                </c:pt>
                <c:pt idx="7">
                  <c:v>32.608695652173907</c:v>
                </c:pt>
                <c:pt idx="8">
                  <c:v>36.95652173913043</c:v>
                </c:pt>
                <c:pt idx="9">
                  <c:v>41.304347826086953</c:v>
                </c:pt>
                <c:pt idx="10">
                  <c:v>45.652173913043477</c:v>
                </c:pt>
                <c:pt idx="11">
                  <c:v>49.999999999999993</c:v>
                </c:pt>
                <c:pt idx="12">
                  <c:v>54.347826086956516</c:v>
                </c:pt>
                <c:pt idx="13">
                  <c:v>58.695652173913039</c:v>
                </c:pt>
                <c:pt idx="14">
                  <c:v>63.043478260869556</c:v>
                </c:pt>
                <c:pt idx="15">
                  <c:v>67.391304347826093</c:v>
                </c:pt>
                <c:pt idx="16">
                  <c:v>71.739130434782609</c:v>
                </c:pt>
                <c:pt idx="17">
                  <c:v>76.086956521739125</c:v>
                </c:pt>
                <c:pt idx="18">
                  <c:v>80.434782608695656</c:v>
                </c:pt>
                <c:pt idx="19">
                  <c:v>84.782608695652172</c:v>
                </c:pt>
                <c:pt idx="20">
                  <c:v>89.130434782608702</c:v>
                </c:pt>
                <c:pt idx="21">
                  <c:v>93.478260869565219</c:v>
                </c:pt>
                <c:pt idx="22">
                  <c:v>97.826086956521735</c:v>
                </c:pt>
              </c:numCache>
            </c:numRef>
          </c:xVal>
          <c:yVal>
            <c:numRef>
              <c:f>[2]MultLogRegr1!$G$26:$G$48</c:f>
              <c:numCache>
                <c:formatCode>General</c:formatCode>
                <c:ptCount val="23"/>
                <c:pt idx="0">
                  <c:v>2.1238516409670858</c:v>
                </c:pt>
                <c:pt idx="1">
                  <c:v>2.1303337684950061</c:v>
                </c:pt>
                <c:pt idx="2">
                  <c:v>2.1553360374650619</c:v>
                </c:pt>
                <c:pt idx="3">
                  <c:v>2.1846914308175989</c:v>
                </c:pt>
                <c:pt idx="4">
                  <c:v>2.214843848047698</c:v>
                </c:pt>
                <c:pt idx="5">
                  <c:v>2.2304489213782741</c:v>
                </c:pt>
                <c:pt idx="6">
                  <c:v>2.2380461031287955</c:v>
                </c:pt>
                <c:pt idx="7">
                  <c:v>2.2833012287035497</c:v>
                </c:pt>
                <c:pt idx="8">
                  <c:v>2.2900346113625178</c:v>
                </c:pt>
                <c:pt idx="9">
                  <c:v>2.2922560713564759</c:v>
                </c:pt>
                <c:pt idx="10">
                  <c:v>2.2966651902615309</c:v>
                </c:pt>
                <c:pt idx="11">
                  <c:v>2.3222192947339191</c:v>
                </c:pt>
                <c:pt idx="12">
                  <c:v>2.4014005407815442</c:v>
                </c:pt>
                <c:pt idx="13">
                  <c:v>2.403120521175818</c:v>
                </c:pt>
                <c:pt idx="14">
                  <c:v>2.4638929889859074</c:v>
                </c:pt>
                <c:pt idx="15">
                  <c:v>2.4638929889859074</c:v>
                </c:pt>
                <c:pt idx="16">
                  <c:v>2.4742162640762553</c:v>
                </c:pt>
                <c:pt idx="17">
                  <c:v>2.5078558716958308</c:v>
                </c:pt>
                <c:pt idx="18">
                  <c:v>2.5854607295085006</c:v>
                </c:pt>
                <c:pt idx="19">
                  <c:v>2.716003343634799</c:v>
                </c:pt>
                <c:pt idx="20">
                  <c:v>2.9319661147281728</c:v>
                </c:pt>
                <c:pt idx="21">
                  <c:v>2.9960736544852753</c:v>
                </c:pt>
                <c:pt idx="22">
                  <c:v>3.0948203803548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DA-428C-BEAE-88EFE284F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264159"/>
        <c:axId val="1540264639"/>
      </c:scatterChart>
      <c:valAx>
        <c:axId val="1540264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0264639"/>
        <c:crosses val="autoZero"/>
        <c:crossBetween val="midCat"/>
      </c:valAx>
      <c:valAx>
        <c:axId val="15402646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026415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'[2]task.1.2'!$O$3:$O$25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xVal>
          <c:yVal>
            <c:numRef>
              <c:f>[2]MultLogRegr1!$C$26:$C$48</c:f>
              <c:numCache>
                <c:formatCode>General</c:formatCode>
                <c:ptCount val="23"/>
                <c:pt idx="0">
                  <c:v>-0.26096112851728703</c:v>
                </c:pt>
                <c:pt idx="1">
                  <c:v>-0.20675116028960661</c:v>
                </c:pt>
                <c:pt idx="2">
                  <c:v>2.4078449607543462E-2</c:v>
                </c:pt>
                <c:pt idx="3">
                  <c:v>-1.9996344938322252E-3</c:v>
                </c:pt>
                <c:pt idx="4">
                  <c:v>0.19793682723093298</c:v>
                </c:pt>
                <c:pt idx="5">
                  <c:v>-6.4638624113088738E-2</c:v>
                </c:pt>
                <c:pt idx="6">
                  <c:v>7.7181611553792884E-2</c:v>
                </c:pt>
                <c:pt idx="7">
                  <c:v>0.21699611198871649</c:v>
                </c:pt>
                <c:pt idx="8">
                  <c:v>-8.0243697443664885E-2</c:v>
                </c:pt>
                <c:pt idx="9">
                  <c:v>-0.16475377699635674</c:v>
                </c:pt>
                <c:pt idx="10">
                  <c:v>-0.11039611467376398</c:v>
                </c:pt>
                <c:pt idx="11">
                  <c:v>0.15450555873169103</c:v>
                </c:pt>
                <c:pt idx="12">
                  <c:v>-0.17044788625176999</c:v>
                </c:pt>
                <c:pt idx="13">
                  <c:v>-0.22949867199705398</c:v>
                </c:pt>
                <c:pt idx="14">
                  <c:v>-0.12831185173336701</c:v>
                </c:pt>
                <c:pt idx="15">
                  <c:v>1.5776447701680851E-3</c:v>
                </c:pt>
                <c:pt idx="16">
                  <c:v>6.0095666793365421E-2</c:v>
                </c:pt>
                <c:pt idx="17">
                  <c:v>8.8817841970012523E-16</c:v>
                </c:pt>
                <c:pt idx="18">
                  <c:v>0.22903919692737063</c:v>
                </c:pt>
                <c:pt idx="19">
                  <c:v>8.1411292285378689E-2</c:v>
                </c:pt>
                <c:pt idx="20">
                  <c:v>-5.2357356817135603E-2</c:v>
                </c:pt>
                <c:pt idx="21">
                  <c:v>0.10803297568445513</c:v>
                </c:pt>
                <c:pt idx="22">
                  <c:v>0.3195045677535262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53-40A7-AE16-1F739AB97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87151"/>
        <c:axId val="213285711"/>
      </c:scatterChart>
      <c:valAx>
        <c:axId val="213287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285711"/>
        <c:crosses val="autoZero"/>
        <c:crossBetween val="midCat"/>
      </c:valAx>
      <c:valAx>
        <c:axId val="2132857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28715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'[2]task.1.2'!$P$3:$P$25</c:f>
              <c:numCache>
                <c:formatCode>General</c:formatCode>
                <c:ptCount val="23"/>
                <c:pt idx="0">
                  <c:v>21</c:v>
                </c:pt>
                <c:pt idx="1">
                  <c:v>21</c:v>
                </c:pt>
                <c:pt idx="2">
                  <c:v>13</c:v>
                </c:pt>
                <c:pt idx="3">
                  <c:v>15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21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16</c:v>
                </c:pt>
                <c:pt idx="12">
                  <c:v>26</c:v>
                </c:pt>
                <c:pt idx="13">
                  <c:v>16</c:v>
                </c:pt>
                <c:pt idx="14">
                  <c:v>18</c:v>
                </c:pt>
                <c:pt idx="15">
                  <c:v>14</c:v>
                </c:pt>
                <c:pt idx="16">
                  <c:v>36</c:v>
                </c:pt>
                <c:pt idx="17">
                  <c:v>35</c:v>
                </c:pt>
                <c:pt idx="18">
                  <c:v>28</c:v>
                </c:pt>
                <c:pt idx="19">
                  <c:v>17</c:v>
                </c:pt>
                <c:pt idx="20">
                  <c:v>11</c:v>
                </c:pt>
                <c:pt idx="21">
                  <c:v>14</c:v>
                </c:pt>
                <c:pt idx="22">
                  <c:v>13</c:v>
                </c:pt>
              </c:numCache>
            </c:numRef>
          </c:xVal>
          <c:yVal>
            <c:numRef>
              <c:f>[2]MultLogRegr1!$C$26:$C$48</c:f>
              <c:numCache>
                <c:formatCode>General</c:formatCode>
                <c:ptCount val="23"/>
                <c:pt idx="0">
                  <c:v>-0.26096112851728703</c:v>
                </c:pt>
                <c:pt idx="1">
                  <c:v>-0.20675116028960661</c:v>
                </c:pt>
                <c:pt idx="2">
                  <c:v>2.4078449607543462E-2</c:v>
                </c:pt>
                <c:pt idx="3">
                  <c:v>-1.9996344938322252E-3</c:v>
                </c:pt>
                <c:pt idx="4">
                  <c:v>0.19793682723093298</c:v>
                </c:pt>
                <c:pt idx="5">
                  <c:v>-6.4638624113088738E-2</c:v>
                </c:pt>
                <c:pt idx="6">
                  <c:v>7.7181611553792884E-2</c:v>
                </c:pt>
                <c:pt idx="7">
                  <c:v>0.21699611198871649</c:v>
                </c:pt>
                <c:pt idx="8">
                  <c:v>-8.0243697443664885E-2</c:v>
                </c:pt>
                <c:pt idx="9">
                  <c:v>-0.16475377699635674</c:v>
                </c:pt>
                <c:pt idx="10">
                  <c:v>-0.11039611467376398</c:v>
                </c:pt>
                <c:pt idx="11">
                  <c:v>0.15450555873169103</c:v>
                </c:pt>
                <c:pt idx="12">
                  <c:v>-0.17044788625176999</c:v>
                </c:pt>
                <c:pt idx="13">
                  <c:v>-0.22949867199705398</c:v>
                </c:pt>
                <c:pt idx="14">
                  <c:v>-0.12831185173336701</c:v>
                </c:pt>
                <c:pt idx="15">
                  <c:v>1.5776447701680851E-3</c:v>
                </c:pt>
                <c:pt idx="16">
                  <c:v>6.0095666793365421E-2</c:v>
                </c:pt>
                <c:pt idx="17">
                  <c:v>8.8817841970012523E-16</c:v>
                </c:pt>
                <c:pt idx="18">
                  <c:v>0.22903919692737063</c:v>
                </c:pt>
                <c:pt idx="19">
                  <c:v>8.1411292285378689E-2</c:v>
                </c:pt>
                <c:pt idx="20">
                  <c:v>-5.2357356817135603E-2</c:v>
                </c:pt>
                <c:pt idx="21">
                  <c:v>0.10803297568445513</c:v>
                </c:pt>
                <c:pt idx="22">
                  <c:v>0.3195045677535262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5F-4DFD-8D5B-C7DD7F4BC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87151"/>
        <c:axId val="349577487"/>
      </c:scatterChart>
      <c:valAx>
        <c:axId val="213287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9577487"/>
        <c:crosses val="autoZero"/>
        <c:crossBetween val="midCat"/>
      </c:valAx>
      <c:valAx>
        <c:axId val="3495774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28715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'[2]task.1.2'!$O$3:$O$25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xVal>
          <c:yVal>
            <c:numRef>
              <c:f>'[2]task.1.2'!$N$3:$N$25</c:f>
              <c:numCache>
                <c:formatCode>General</c:formatCode>
                <c:ptCount val="23"/>
                <c:pt idx="0">
                  <c:v>2.2380461031287955</c:v>
                </c:pt>
                <c:pt idx="1">
                  <c:v>2.2922560713564759</c:v>
                </c:pt>
                <c:pt idx="2">
                  <c:v>2.2900346113625178</c:v>
                </c:pt>
                <c:pt idx="3">
                  <c:v>2.3222192947339191</c:v>
                </c:pt>
                <c:pt idx="4">
                  <c:v>2.4638929889859074</c:v>
                </c:pt>
                <c:pt idx="5">
                  <c:v>2.2304489213782741</c:v>
                </c:pt>
                <c:pt idx="6">
                  <c:v>2.4014005407815442</c:v>
                </c:pt>
                <c:pt idx="7">
                  <c:v>2.716003343634799</c:v>
                </c:pt>
                <c:pt idx="8">
                  <c:v>2.214843848047698</c:v>
                </c:pt>
                <c:pt idx="9">
                  <c:v>2.1303337684950061</c:v>
                </c:pt>
                <c:pt idx="10">
                  <c:v>2.1846914308175989</c:v>
                </c:pt>
                <c:pt idx="11">
                  <c:v>2.5078558716958308</c:v>
                </c:pt>
                <c:pt idx="12">
                  <c:v>2.4742162640762553</c:v>
                </c:pt>
                <c:pt idx="13">
                  <c:v>2.1238516409670858</c:v>
                </c:pt>
                <c:pt idx="14">
                  <c:v>2.2833012287035497</c:v>
                </c:pt>
                <c:pt idx="15">
                  <c:v>2.2966651902615309</c:v>
                </c:pt>
                <c:pt idx="16">
                  <c:v>2.9960736544852753</c:v>
                </c:pt>
                <c:pt idx="17">
                  <c:v>3.0948203803548</c:v>
                </c:pt>
                <c:pt idx="18">
                  <c:v>2.9319661147281728</c:v>
                </c:pt>
                <c:pt idx="19">
                  <c:v>2.4638929889859074</c:v>
                </c:pt>
                <c:pt idx="20">
                  <c:v>2.1553360374650619</c:v>
                </c:pt>
                <c:pt idx="21">
                  <c:v>2.403120521175818</c:v>
                </c:pt>
                <c:pt idx="22">
                  <c:v>2.5854607295085006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CA-4EDE-A644-2D6E5A6A3458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'[2]task.1.2'!$O$3:$O$25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xVal>
          <c:yVal>
            <c:numRef>
              <c:f>[2]MultLogRegr1!$B$26:$B$48</c:f>
              <c:numCache>
                <c:formatCode>General</c:formatCode>
                <c:ptCount val="23"/>
                <c:pt idx="0">
                  <c:v>2.4990072316460825</c:v>
                </c:pt>
                <c:pt idx="1">
                  <c:v>2.4990072316460825</c:v>
                </c:pt>
                <c:pt idx="2">
                  <c:v>2.2659561617549744</c:v>
                </c:pt>
                <c:pt idx="3">
                  <c:v>2.3242189292277513</c:v>
                </c:pt>
                <c:pt idx="4">
                  <c:v>2.2659561617549744</c:v>
                </c:pt>
                <c:pt idx="5">
                  <c:v>2.2950875454913628</c:v>
                </c:pt>
                <c:pt idx="6">
                  <c:v>2.3242189292277513</c:v>
                </c:pt>
                <c:pt idx="7">
                  <c:v>2.4990072316460825</c:v>
                </c:pt>
                <c:pt idx="8">
                  <c:v>2.2950875454913628</c:v>
                </c:pt>
                <c:pt idx="9">
                  <c:v>2.2950875454913628</c:v>
                </c:pt>
                <c:pt idx="10">
                  <c:v>2.2950875454913628</c:v>
                </c:pt>
                <c:pt idx="11">
                  <c:v>2.3533503129641398</c:v>
                </c:pt>
                <c:pt idx="12">
                  <c:v>2.6446641503280253</c:v>
                </c:pt>
                <c:pt idx="13">
                  <c:v>2.3533503129641398</c:v>
                </c:pt>
                <c:pt idx="14">
                  <c:v>2.4116130804369167</c:v>
                </c:pt>
                <c:pt idx="15">
                  <c:v>2.2950875454913628</c:v>
                </c:pt>
                <c:pt idx="16">
                  <c:v>2.9359779876919099</c:v>
                </c:pt>
                <c:pt idx="17">
                  <c:v>3.0948203803547991</c:v>
                </c:pt>
                <c:pt idx="18">
                  <c:v>2.7029269178008022</c:v>
                </c:pt>
                <c:pt idx="19">
                  <c:v>2.3824816967005287</c:v>
                </c:pt>
                <c:pt idx="20">
                  <c:v>2.2076933942821975</c:v>
                </c:pt>
                <c:pt idx="21">
                  <c:v>2.2950875454913628</c:v>
                </c:pt>
                <c:pt idx="22">
                  <c:v>2.2659561617549744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CA-4EDE-A644-2D6E5A6A3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989695"/>
        <c:axId val="1478991135"/>
      </c:scatterChart>
      <c:valAx>
        <c:axId val="1478989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8991135"/>
        <c:crosses val="autoZero"/>
        <c:crossBetween val="midCat"/>
      </c:valAx>
      <c:valAx>
        <c:axId val="14789911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89896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'[2]task.1.2'!$P$3:$P$25</c:f>
              <c:numCache>
                <c:formatCode>General</c:formatCode>
                <c:ptCount val="23"/>
                <c:pt idx="0">
                  <c:v>21</c:v>
                </c:pt>
                <c:pt idx="1">
                  <c:v>21</c:v>
                </c:pt>
                <c:pt idx="2">
                  <c:v>13</c:v>
                </c:pt>
                <c:pt idx="3">
                  <c:v>15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21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16</c:v>
                </c:pt>
                <c:pt idx="12">
                  <c:v>26</c:v>
                </c:pt>
                <c:pt idx="13">
                  <c:v>16</c:v>
                </c:pt>
                <c:pt idx="14">
                  <c:v>18</c:v>
                </c:pt>
                <c:pt idx="15">
                  <c:v>14</c:v>
                </c:pt>
                <c:pt idx="16">
                  <c:v>36</c:v>
                </c:pt>
                <c:pt idx="17">
                  <c:v>35</c:v>
                </c:pt>
                <c:pt idx="18">
                  <c:v>28</c:v>
                </c:pt>
                <c:pt idx="19">
                  <c:v>17</c:v>
                </c:pt>
                <c:pt idx="20">
                  <c:v>11</c:v>
                </c:pt>
                <c:pt idx="21">
                  <c:v>14</c:v>
                </c:pt>
                <c:pt idx="22">
                  <c:v>13</c:v>
                </c:pt>
              </c:numCache>
            </c:numRef>
          </c:xVal>
          <c:yVal>
            <c:numRef>
              <c:f>'[2]task.1.2'!$N$3:$N$25</c:f>
              <c:numCache>
                <c:formatCode>General</c:formatCode>
                <c:ptCount val="23"/>
                <c:pt idx="0">
                  <c:v>2.2380461031287955</c:v>
                </c:pt>
                <c:pt idx="1">
                  <c:v>2.2922560713564759</c:v>
                </c:pt>
                <c:pt idx="2">
                  <c:v>2.2900346113625178</c:v>
                </c:pt>
                <c:pt idx="3">
                  <c:v>2.3222192947339191</c:v>
                </c:pt>
                <c:pt idx="4">
                  <c:v>2.4638929889859074</c:v>
                </c:pt>
                <c:pt idx="5">
                  <c:v>2.2304489213782741</c:v>
                </c:pt>
                <c:pt idx="6">
                  <c:v>2.4014005407815442</c:v>
                </c:pt>
                <c:pt idx="7">
                  <c:v>2.716003343634799</c:v>
                </c:pt>
                <c:pt idx="8">
                  <c:v>2.214843848047698</c:v>
                </c:pt>
                <c:pt idx="9">
                  <c:v>2.1303337684950061</c:v>
                </c:pt>
                <c:pt idx="10">
                  <c:v>2.1846914308175989</c:v>
                </c:pt>
                <c:pt idx="11">
                  <c:v>2.5078558716958308</c:v>
                </c:pt>
                <c:pt idx="12">
                  <c:v>2.4742162640762553</c:v>
                </c:pt>
                <c:pt idx="13">
                  <c:v>2.1238516409670858</c:v>
                </c:pt>
                <c:pt idx="14">
                  <c:v>2.2833012287035497</c:v>
                </c:pt>
                <c:pt idx="15">
                  <c:v>2.2966651902615309</c:v>
                </c:pt>
                <c:pt idx="16">
                  <c:v>2.9960736544852753</c:v>
                </c:pt>
                <c:pt idx="17">
                  <c:v>3.0948203803548</c:v>
                </c:pt>
                <c:pt idx="18">
                  <c:v>2.9319661147281728</c:v>
                </c:pt>
                <c:pt idx="19">
                  <c:v>2.4638929889859074</c:v>
                </c:pt>
                <c:pt idx="20">
                  <c:v>2.1553360374650619</c:v>
                </c:pt>
                <c:pt idx="21">
                  <c:v>2.403120521175818</c:v>
                </c:pt>
                <c:pt idx="22">
                  <c:v>2.5854607295085006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D2-48B0-81EA-1E81996B455C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'[2]task.1.2'!$P$3:$P$25</c:f>
              <c:numCache>
                <c:formatCode>General</c:formatCode>
                <c:ptCount val="23"/>
                <c:pt idx="0">
                  <c:v>21</c:v>
                </c:pt>
                <c:pt idx="1">
                  <c:v>21</c:v>
                </c:pt>
                <c:pt idx="2">
                  <c:v>13</c:v>
                </c:pt>
                <c:pt idx="3">
                  <c:v>15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21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16</c:v>
                </c:pt>
                <c:pt idx="12">
                  <c:v>26</c:v>
                </c:pt>
                <c:pt idx="13">
                  <c:v>16</c:v>
                </c:pt>
                <c:pt idx="14">
                  <c:v>18</c:v>
                </c:pt>
                <c:pt idx="15">
                  <c:v>14</c:v>
                </c:pt>
                <c:pt idx="16">
                  <c:v>36</c:v>
                </c:pt>
                <c:pt idx="17">
                  <c:v>35</c:v>
                </c:pt>
                <c:pt idx="18">
                  <c:v>28</c:v>
                </c:pt>
                <c:pt idx="19">
                  <c:v>17</c:v>
                </c:pt>
                <c:pt idx="20">
                  <c:v>11</c:v>
                </c:pt>
                <c:pt idx="21">
                  <c:v>14</c:v>
                </c:pt>
                <c:pt idx="22">
                  <c:v>13</c:v>
                </c:pt>
              </c:numCache>
            </c:numRef>
          </c:xVal>
          <c:yVal>
            <c:numRef>
              <c:f>[2]MultLogRegr1!$B$26:$B$48</c:f>
              <c:numCache>
                <c:formatCode>General</c:formatCode>
                <c:ptCount val="23"/>
                <c:pt idx="0">
                  <c:v>2.4990072316460825</c:v>
                </c:pt>
                <c:pt idx="1">
                  <c:v>2.4990072316460825</c:v>
                </c:pt>
                <c:pt idx="2">
                  <c:v>2.2659561617549744</c:v>
                </c:pt>
                <c:pt idx="3">
                  <c:v>2.3242189292277513</c:v>
                </c:pt>
                <c:pt idx="4">
                  <c:v>2.2659561617549744</c:v>
                </c:pt>
                <c:pt idx="5">
                  <c:v>2.2950875454913628</c:v>
                </c:pt>
                <c:pt idx="6">
                  <c:v>2.3242189292277513</c:v>
                </c:pt>
                <c:pt idx="7">
                  <c:v>2.4990072316460825</c:v>
                </c:pt>
                <c:pt idx="8">
                  <c:v>2.2950875454913628</c:v>
                </c:pt>
                <c:pt idx="9">
                  <c:v>2.2950875454913628</c:v>
                </c:pt>
                <c:pt idx="10">
                  <c:v>2.2950875454913628</c:v>
                </c:pt>
                <c:pt idx="11">
                  <c:v>2.3533503129641398</c:v>
                </c:pt>
                <c:pt idx="12">
                  <c:v>2.6446641503280253</c:v>
                </c:pt>
                <c:pt idx="13">
                  <c:v>2.3533503129641398</c:v>
                </c:pt>
                <c:pt idx="14">
                  <c:v>2.4116130804369167</c:v>
                </c:pt>
                <c:pt idx="15">
                  <c:v>2.2950875454913628</c:v>
                </c:pt>
                <c:pt idx="16">
                  <c:v>2.9359779876919099</c:v>
                </c:pt>
                <c:pt idx="17">
                  <c:v>3.0948203803547991</c:v>
                </c:pt>
                <c:pt idx="18">
                  <c:v>2.7029269178008022</c:v>
                </c:pt>
                <c:pt idx="19">
                  <c:v>2.3824816967005287</c:v>
                </c:pt>
                <c:pt idx="20">
                  <c:v>2.2076933942821975</c:v>
                </c:pt>
                <c:pt idx="21">
                  <c:v>2.2950875454913628</c:v>
                </c:pt>
                <c:pt idx="22">
                  <c:v>2.2659561617549744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D2-48B0-81EA-1E81996B4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20383"/>
        <c:axId val="349578927"/>
      </c:scatterChart>
      <c:valAx>
        <c:axId val="54720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9578927"/>
        <c:crosses val="autoZero"/>
        <c:crossBetween val="midCat"/>
      </c:valAx>
      <c:valAx>
        <c:axId val="3495789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72038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[2]MultLogRegr1!$F$26:$F$48</c:f>
              <c:numCache>
                <c:formatCode>General</c:formatCode>
                <c:ptCount val="23"/>
                <c:pt idx="0">
                  <c:v>2.1739130434782608</c:v>
                </c:pt>
                <c:pt idx="1">
                  <c:v>6.5217391304347823</c:v>
                </c:pt>
                <c:pt idx="2">
                  <c:v>10.869565217391305</c:v>
                </c:pt>
                <c:pt idx="3">
                  <c:v>15.217391304347824</c:v>
                </c:pt>
                <c:pt idx="4">
                  <c:v>19.565217391304348</c:v>
                </c:pt>
                <c:pt idx="5">
                  <c:v>23.913043478260871</c:v>
                </c:pt>
                <c:pt idx="6">
                  <c:v>28.260869565217391</c:v>
                </c:pt>
                <c:pt idx="7">
                  <c:v>32.608695652173907</c:v>
                </c:pt>
                <c:pt idx="8">
                  <c:v>36.95652173913043</c:v>
                </c:pt>
                <c:pt idx="9">
                  <c:v>41.304347826086953</c:v>
                </c:pt>
                <c:pt idx="10">
                  <c:v>45.652173913043477</c:v>
                </c:pt>
                <c:pt idx="11">
                  <c:v>49.999999999999993</c:v>
                </c:pt>
                <c:pt idx="12">
                  <c:v>54.347826086956516</c:v>
                </c:pt>
                <c:pt idx="13">
                  <c:v>58.695652173913039</c:v>
                </c:pt>
                <c:pt idx="14">
                  <c:v>63.043478260869556</c:v>
                </c:pt>
                <c:pt idx="15">
                  <c:v>67.391304347826093</c:v>
                </c:pt>
                <c:pt idx="16">
                  <c:v>71.739130434782609</c:v>
                </c:pt>
                <c:pt idx="17">
                  <c:v>76.086956521739125</c:v>
                </c:pt>
                <c:pt idx="18">
                  <c:v>80.434782608695656</c:v>
                </c:pt>
                <c:pt idx="19">
                  <c:v>84.782608695652172</c:v>
                </c:pt>
                <c:pt idx="20">
                  <c:v>89.130434782608702</c:v>
                </c:pt>
                <c:pt idx="21">
                  <c:v>93.478260869565219</c:v>
                </c:pt>
                <c:pt idx="22">
                  <c:v>97.826086956521735</c:v>
                </c:pt>
              </c:numCache>
            </c:numRef>
          </c:xVal>
          <c:yVal>
            <c:numRef>
              <c:f>[2]MultLogRegr1!$G$26:$G$48</c:f>
              <c:numCache>
                <c:formatCode>General</c:formatCode>
                <c:ptCount val="23"/>
                <c:pt idx="0">
                  <c:v>2.1238516409670858</c:v>
                </c:pt>
                <c:pt idx="1">
                  <c:v>2.1303337684950061</c:v>
                </c:pt>
                <c:pt idx="2">
                  <c:v>2.1553360374650619</c:v>
                </c:pt>
                <c:pt idx="3">
                  <c:v>2.1846914308175989</c:v>
                </c:pt>
                <c:pt idx="4">
                  <c:v>2.214843848047698</c:v>
                </c:pt>
                <c:pt idx="5">
                  <c:v>2.2304489213782741</c:v>
                </c:pt>
                <c:pt idx="6">
                  <c:v>2.2380461031287955</c:v>
                </c:pt>
                <c:pt idx="7">
                  <c:v>2.2833012287035497</c:v>
                </c:pt>
                <c:pt idx="8">
                  <c:v>2.2900346113625178</c:v>
                </c:pt>
                <c:pt idx="9">
                  <c:v>2.2922560713564759</c:v>
                </c:pt>
                <c:pt idx="10">
                  <c:v>2.2966651902615309</c:v>
                </c:pt>
                <c:pt idx="11">
                  <c:v>2.3222192947339191</c:v>
                </c:pt>
                <c:pt idx="12">
                  <c:v>2.4014005407815442</c:v>
                </c:pt>
                <c:pt idx="13">
                  <c:v>2.403120521175818</c:v>
                </c:pt>
                <c:pt idx="14">
                  <c:v>2.4638929889859074</c:v>
                </c:pt>
                <c:pt idx="15">
                  <c:v>2.4638929889859074</c:v>
                </c:pt>
                <c:pt idx="16">
                  <c:v>2.4742162640762553</c:v>
                </c:pt>
                <c:pt idx="17">
                  <c:v>2.5078558716958308</c:v>
                </c:pt>
                <c:pt idx="18">
                  <c:v>2.5854607295085006</c:v>
                </c:pt>
                <c:pt idx="19">
                  <c:v>2.716003343634799</c:v>
                </c:pt>
                <c:pt idx="20">
                  <c:v>2.9319661147281728</c:v>
                </c:pt>
                <c:pt idx="21">
                  <c:v>2.9960736544852753</c:v>
                </c:pt>
                <c:pt idx="22">
                  <c:v>3.0948203803548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EA-4FBD-9839-B1B394624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264159"/>
        <c:axId val="1540264639"/>
      </c:scatterChart>
      <c:valAx>
        <c:axId val="1540264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0264639"/>
        <c:crosses val="autoZero"/>
        <c:crossBetween val="midCat"/>
      </c:valAx>
      <c:valAx>
        <c:axId val="15402646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026415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0EF5FFA7-4E31-43B1-B8E5-8D0F1CFE2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579120</xdr:colOff>
      <xdr:row>1</xdr:row>
      <xdr:rowOff>121920</xdr:rowOff>
    </xdr:from>
    <xdr:to>
      <xdr:col>20</xdr:col>
      <xdr:colOff>579120</xdr:colOff>
      <xdr:row>11</xdr:row>
      <xdr:rowOff>114300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42F14623-D9BF-492E-AC23-B5D701CA8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190500</xdr:colOff>
      <xdr:row>11</xdr:row>
      <xdr:rowOff>30480</xdr:rowOff>
    </xdr:from>
    <xdr:to>
      <xdr:col>18</xdr:col>
      <xdr:colOff>190500</xdr:colOff>
      <xdr:row>21</xdr:row>
      <xdr:rowOff>30480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649D4D12-5B55-4064-80DF-9A48B80F5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457200</xdr:colOff>
      <xdr:row>18</xdr:row>
      <xdr:rowOff>0</xdr:rowOff>
    </xdr:from>
    <xdr:to>
      <xdr:col>17</xdr:col>
      <xdr:colOff>457200</xdr:colOff>
      <xdr:row>28</xdr:row>
      <xdr:rowOff>15240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2D693C85-4F6A-4514-8F35-716C1B31F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434340</xdr:colOff>
      <xdr:row>12</xdr:row>
      <xdr:rowOff>30480</xdr:rowOff>
    </xdr:from>
    <xdr:to>
      <xdr:col>25</xdr:col>
      <xdr:colOff>434340</xdr:colOff>
      <xdr:row>22</xdr:row>
      <xdr:rowOff>30480</xdr:rowOff>
    </xdr:to>
    <xdr:graphicFrame macro="">
      <xdr:nvGraphicFramePr>
        <xdr:cNvPr id="6" name="Діаграма 5">
          <a:extLst>
            <a:ext uri="{FF2B5EF4-FFF2-40B4-BE49-F238E27FC236}">
              <a16:creationId xmlns:a16="http://schemas.microsoft.com/office/drawing/2014/main" id="{ED20C2C9-D3E3-4D0E-9D26-23BB0007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205740</xdr:colOff>
      <xdr:row>22</xdr:row>
      <xdr:rowOff>91440</xdr:rowOff>
    </xdr:from>
    <xdr:to>
      <xdr:col>20</xdr:col>
      <xdr:colOff>205740</xdr:colOff>
      <xdr:row>32</xdr:row>
      <xdr:rowOff>106680</xdr:rowOff>
    </xdr:to>
    <xdr:graphicFrame macro="">
      <xdr:nvGraphicFramePr>
        <xdr:cNvPr id="7" name="Діаграма 6">
          <a:extLst>
            <a:ext uri="{FF2B5EF4-FFF2-40B4-BE49-F238E27FC236}">
              <a16:creationId xmlns:a16="http://schemas.microsoft.com/office/drawing/2014/main" id="{C569912E-11FB-420A-B47C-E01F4C397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464820</xdr:colOff>
      <xdr:row>0</xdr:row>
      <xdr:rowOff>121920</xdr:rowOff>
    </xdr:from>
    <xdr:to>
      <xdr:col>26</xdr:col>
      <xdr:colOff>464821</xdr:colOff>
      <xdr:row>10</xdr:row>
      <xdr:rowOff>121920</xdr:rowOff>
    </xdr:to>
    <xdr:graphicFrame macro="">
      <xdr:nvGraphicFramePr>
        <xdr:cNvPr id="8" name="Діаграма 7">
          <a:extLst>
            <a:ext uri="{FF2B5EF4-FFF2-40B4-BE49-F238E27FC236}">
              <a16:creationId xmlns:a16="http://schemas.microsoft.com/office/drawing/2014/main" id="{4F17BF2D-23FB-4096-8B91-F26FB1FC0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376A23E1-C0C9-444F-B006-774E78E31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8</xdr:row>
      <xdr:rowOff>106680</xdr:rowOff>
    </xdr:from>
    <xdr:to>
      <xdr:col>16</xdr:col>
      <xdr:colOff>38100</xdr:colOff>
      <xdr:row>18</xdr:row>
      <xdr:rowOff>99060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D0E91B73-6A74-465B-844D-36740D471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472440</xdr:colOff>
      <xdr:row>0</xdr:row>
      <xdr:rowOff>129540</xdr:rowOff>
    </xdr:from>
    <xdr:to>
      <xdr:col>21</xdr:col>
      <xdr:colOff>472440</xdr:colOff>
      <xdr:row>10</xdr:row>
      <xdr:rowOff>129540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12FF32C1-EBF9-4AD4-A724-47D67542D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137160</xdr:colOff>
      <xdr:row>17</xdr:row>
      <xdr:rowOff>121920</xdr:rowOff>
    </xdr:from>
    <xdr:to>
      <xdr:col>15</xdr:col>
      <xdr:colOff>137160</xdr:colOff>
      <xdr:row>27</xdr:row>
      <xdr:rowOff>137160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966D7EAD-3F51-4673-B104-5C73E4533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99060</xdr:colOff>
      <xdr:row>19</xdr:row>
      <xdr:rowOff>53340</xdr:rowOff>
    </xdr:from>
    <xdr:to>
      <xdr:col>20</xdr:col>
      <xdr:colOff>99060</xdr:colOff>
      <xdr:row>29</xdr:row>
      <xdr:rowOff>60960</xdr:rowOff>
    </xdr:to>
    <xdr:graphicFrame macro="">
      <xdr:nvGraphicFramePr>
        <xdr:cNvPr id="6" name="Діаграма 5">
          <a:extLst>
            <a:ext uri="{FF2B5EF4-FFF2-40B4-BE49-F238E27FC236}">
              <a16:creationId xmlns:a16="http://schemas.microsoft.com/office/drawing/2014/main" id="{3000A884-BDAD-4335-AF85-4E691A4E9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441960</xdr:colOff>
      <xdr:row>12</xdr:row>
      <xdr:rowOff>53340</xdr:rowOff>
    </xdr:from>
    <xdr:to>
      <xdr:col>26</xdr:col>
      <xdr:colOff>441960</xdr:colOff>
      <xdr:row>22</xdr:row>
      <xdr:rowOff>53340</xdr:rowOff>
    </xdr:to>
    <xdr:graphicFrame macro="">
      <xdr:nvGraphicFramePr>
        <xdr:cNvPr id="7" name="Діаграма 6">
          <a:extLst>
            <a:ext uri="{FF2B5EF4-FFF2-40B4-BE49-F238E27FC236}">
              <a16:creationId xmlns:a16="http://schemas.microsoft.com/office/drawing/2014/main" id="{C192F6BC-786B-4F22-B928-4E300BDEBD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15240</xdr:colOff>
      <xdr:row>1</xdr:row>
      <xdr:rowOff>45720</xdr:rowOff>
    </xdr:from>
    <xdr:to>
      <xdr:col>27</xdr:col>
      <xdr:colOff>15241</xdr:colOff>
      <xdr:row>11</xdr:row>
      <xdr:rowOff>45720</xdr:rowOff>
    </xdr:to>
    <xdr:graphicFrame macro="">
      <xdr:nvGraphicFramePr>
        <xdr:cNvPr id="8" name="Діаграма 7">
          <a:extLst>
            <a:ext uri="{FF2B5EF4-FFF2-40B4-BE49-F238E27FC236}">
              <a16:creationId xmlns:a16="http://schemas.microsoft.com/office/drawing/2014/main" id="{778D1F66-21D1-46AE-854F-2467A0B37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09E378CC-E918-4214-94BE-80A2E3E2B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175260</xdr:rowOff>
    </xdr:from>
    <xdr:to>
      <xdr:col>16</xdr:col>
      <xdr:colOff>251460</xdr:colOff>
      <xdr:row>12</xdr:row>
      <xdr:rowOff>175260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49F7B58B-44DA-4787-A785-FD9959E15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251460</xdr:colOff>
      <xdr:row>4</xdr:row>
      <xdr:rowOff>175260</xdr:rowOff>
    </xdr:from>
    <xdr:to>
      <xdr:col>17</xdr:col>
      <xdr:colOff>251460</xdr:colOff>
      <xdr:row>14</xdr:row>
      <xdr:rowOff>175260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0ACBC554-75E4-4C28-8506-6DBCFDF38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251460</xdr:colOff>
      <xdr:row>6</xdr:row>
      <xdr:rowOff>175260</xdr:rowOff>
    </xdr:from>
    <xdr:to>
      <xdr:col>18</xdr:col>
      <xdr:colOff>251460</xdr:colOff>
      <xdr:row>16</xdr:row>
      <xdr:rowOff>175260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2CDB24ED-2373-489F-92D0-7827FE553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251460</xdr:colOff>
      <xdr:row>8</xdr:row>
      <xdr:rowOff>175260</xdr:rowOff>
    </xdr:from>
    <xdr:to>
      <xdr:col>19</xdr:col>
      <xdr:colOff>251460</xdr:colOff>
      <xdr:row>18</xdr:row>
      <xdr:rowOff>175260</xdr:rowOff>
    </xdr:to>
    <xdr:graphicFrame macro="">
      <xdr:nvGraphicFramePr>
        <xdr:cNvPr id="6" name="Діаграма 5">
          <a:extLst>
            <a:ext uri="{FF2B5EF4-FFF2-40B4-BE49-F238E27FC236}">
              <a16:creationId xmlns:a16="http://schemas.microsoft.com/office/drawing/2014/main" id="{BFF7AEC9-8936-4DF7-8B64-72A4B6196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7" name="Діаграма 6">
          <a:extLst>
            <a:ext uri="{FF2B5EF4-FFF2-40B4-BE49-F238E27FC236}">
              <a16:creationId xmlns:a16="http://schemas.microsoft.com/office/drawing/2014/main" id="{FCB157C1-5945-481E-95F6-5617AE22B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251460</xdr:colOff>
      <xdr:row>2</xdr:row>
      <xdr:rowOff>175260</xdr:rowOff>
    </xdr:from>
    <xdr:to>
      <xdr:col>16</xdr:col>
      <xdr:colOff>251460</xdr:colOff>
      <xdr:row>12</xdr:row>
      <xdr:rowOff>175260</xdr:rowOff>
    </xdr:to>
    <xdr:graphicFrame macro="">
      <xdr:nvGraphicFramePr>
        <xdr:cNvPr id="8" name="Діаграма 7">
          <a:extLst>
            <a:ext uri="{FF2B5EF4-FFF2-40B4-BE49-F238E27FC236}">
              <a16:creationId xmlns:a16="http://schemas.microsoft.com/office/drawing/2014/main" id="{F5EDFA59-73CB-4340-868B-054A67890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251460</xdr:colOff>
      <xdr:row>4</xdr:row>
      <xdr:rowOff>175260</xdr:rowOff>
    </xdr:from>
    <xdr:to>
      <xdr:col>17</xdr:col>
      <xdr:colOff>251460</xdr:colOff>
      <xdr:row>14</xdr:row>
      <xdr:rowOff>175260</xdr:rowOff>
    </xdr:to>
    <xdr:graphicFrame macro="">
      <xdr:nvGraphicFramePr>
        <xdr:cNvPr id="9" name="Діаграма 8">
          <a:extLst>
            <a:ext uri="{FF2B5EF4-FFF2-40B4-BE49-F238E27FC236}">
              <a16:creationId xmlns:a16="http://schemas.microsoft.com/office/drawing/2014/main" id="{7533BF74-A78D-492C-B64D-ACE37FAB4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251460</xdr:colOff>
      <xdr:row>6</xdr:row>
      <xdr:rowOff>175260</xdr:rowOff>
    </xdr:from>
    <xdr:to>
      <xdr:col>18</xdr:col>
      <xdr:colOff>251460</xdr:colOff>
      <xdr:row>16</xdr:row>
      <xdr:rowOff>175260</xdr:rowOff>
    </xdr:to>
    <xdr:graphicFrame macro="">
      <xdr:nvGraphicFramePr>
        <xdr:cNvPr id="10" name="Діаграма 9">
          <a:extLst>
            <a:ext uri="{FF2B5EF4-FFF2-40B4-BE49-F238E27FC236}">
              <a16:creationId xmlns:a16="http://schemas.microsoft.com/office/drawing/2014/main" id="{980D8A4F-21B6-4675-A451-5284F0D87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251460</xdr:colOff>
      <xdr:row>8</xdr:row>
      <xdr:rowOff>175260</xdr:rowOff>
    </xdr:from>
    <xdr:to>
      <xdr:col>19</xdr:col>
      <xdr:colOff>251460</xdr:colOff>
      <xdr:row>18</xdr:row>
      <xdr:rowOff>175260</xdr:rowOff>
    </xdr:to>
    <xdr:graphicFrame macro="">
      <xdr:nvGraphicFramePr>
        <xdr:cNvPr id="11" name="Діаграма 10">
          <a:extLst>
            <a:ext uri="{FF2B5EF4-FFF2-40B4-BE49-F238E27FC236}">
              <a16:creationId xmlns:a16="http://schemas.microsoft.com/office/drawing/2014/main" id="{B56B9A68-D1AE-4719-BE49-8BD4BDB55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afterdefenceAntoniuk.xlsx" TargetMode="External"/><Relationship Id="rId1" Type="http://schemas.openxmlformats.org/officeDocument/2006/relationships/externalLinkPath" Target="/Users/ASUS/Downloads/afterdefenceAntoniu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Telegram%20Desktop\afterdefence%20(3).xlsx" TargetMode="External"/><Relationship Id="rId1" Type="http://schemas.openxmlformats.org/officeDocument/2006/relationships/externalLinkPath" Target="/Users/ASUS/Downloads/Telegram%20Desktop/afterdefence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swers"/>
      <sheetName val="MultiLogRegr2"/>
      <sheetName val="MultiLogRegr1stWeek"/>
      <sheetName val="task 2.5"/>
      <sheetName val="task 2.6"/>
      <sheetName val="TV Daily Sales Data"/>
    </sheetNames>
    <sheetDataSet>
      <sheetData sheetId="0"/>
      <sheetData sheetId="1">
        <row r="17">
          <cell r="B17">
            <v>1.6749987585010004</v>
          </cell>
        </row>
        <row r="27">
          <cell r="B27">
            <v>2.388203304405248</v>
          </cell>
          <cell r="C27">
            <v>-0.15015720127645249</v>
          </cell>
          <cell r="F27">
            <v>2.1739130434782608</v>
          </cell>
          <cell r="G27">
            <v>2.1238516409670858</v>
          </cell>
        </row>
        <row r="28">
          <cell r="B28">
            <v>2.4233132975177538</v>
          </cell>
          <cell r="C28">
            <v>-0.13105722616127791</v>
          </cell>
          <cell r="F28">
            <v>6.5217391304347823</v>
          </cell>
          <cell r="G28">
            <v>2.1303337684950061</v>
          </cell>
        </row>
        <row r="29">
          <cell r="B29">
            <v>2.3445540993248595</v>
          </cell>
          <cell r="C29">
            <v>-5.4519487962341628E-2</v>
          </cell>
          <cell r="F29">
            <v>10.869565217391305</v>
          </cell>
          <cell r="G29">
            <v>2.1553360374650619</v>
          </cell>
        </row>
        <row r="30">
          <cell r="B30">
            <v>2.2700320840211918</v>
          </cell>
          <cell r="C30">
            <v>5.218721071272725E-2</v>
          </cell>
          <cell r="F30">
            <v>15.217391304347824</v>
          </cell>
          <cell r="G30">
            <v>2.1846914308175989</v>
          </cell>
        </row>
        <row r="31">
          <cell r="B31">
            <v>2.4686094083223806</v>
          </cell>
          <cell r="C31">
            <v>-4.7164193364732654E-3</v>
          </cell>
          <cell r="F31">
            <v>19.565217391304348</v>
          </cell>
          <cell r="G31">
            <v>2.214843848047698</v>
          </cell>
        </row>
        <row r="32">
          <cell r="B32">
            <v>2.2464357702780151</v>
          </cell>
          <cell r="C32">
            <v>-1.5986848899741002E-2</v>
          </cell>
          <cell r="F32">
            <v>23.913043478260871</v>
          </cell>
          <cell r="G32">
            <v>2.2304489213782741</v>
          </cell>
        </row>
        <row r="33">
          <cell r="B33">
            <v>2.4104720564712161</v>
          </cell>
          <cell r="C33">
            <v>-9.0715156896719051E-3</v>
          </cell>
          <cell r="F33">
            <v>28.260869565217391</v>
          </cell>
          <cell r="G33">
            <v>2.2380461031287955</v>
          </cell>
        </row>
        <row r="34">
          <cell r="B34">
            <v>2.8071825555478198</v>
          </cell>
          <cell r="C34">
            <v>-9.1179211913020808E-2</v>
          </cell>
          <cell r="F34">
            <v>32.608695652173907</v>
          </cell>
          <cell r="G34">
            <v>2.2833012287035497</v>
          </cell>
        </row>
        <row r="35">
          <cell r="B35">
            <v>2.1996224461280072</v>
          </cell>
          <cell r="C35">
            <v>1.5221401919690791E-2</v>
          </cell>
          <cell r="F35">
            <v>36.95652173913043</v>
          </cell>
          <cell r="G35">
            <v>2.2900346113625178</v>
          </cell>
        </row>
        <row r="36">
          <cell r="B36">
            <v>2.2183477757880103</v>
          </cell>
          <cell r="C36">
            <v>-8.8014007293004237E-2</v>
          </cell>
          <cell r="F36">
            <v>41.304347826086953</v>
          </cell>
          <cell r="G36">
            <v>2.2922560713564759</v>
          </cell>
        </row>
        <row r="37">
          <cell r="B37">
            <v>2.1902597812980056</v>
          </cell>
          <cell r="C37">
            <v>-5.5683504804067141E-3</v>
          </cell>
          <cell r="F37">
            <v>45.652173913043477</v>
          </cell>
          <cell r="G37">
            <v>2.2966651902615309</v>
          </cell>
        </row>
        <row r="38">
          <cell r="B38">
            <v>2.3240570584618738</v>
          </cell>
          <cell r="C38">
            <v>0.18379881323395697</v>
          </cell>
          <cell r="F38">
            <v>49.999999999999993</v>
          </cell>
          <cell r="G38">
            <v>2.3222192947339191</v>
          </cell>
        </row>
        <row r="39">
          <cell r="B39">
            <v>2.5693828607236422</v>
          </cell>
          <cell r="C39">
            <v>-9.5166596647386914E-2</v>
          </cell>
          <cell r="F39">
            <v>54.347826086956516</v>
          </cell>
          <cell r="G39">
            <v>2.4014005407815442</v>
          </cell>
        </row>
        <row r="40">
          <cell r="B40">
            <v>2.1672324225593469</v>
          </cell>
          <cell r="C40">
            <v>-4.3380781592261108E-2</v>
          </cell>
          <cell r="F40">
            <v>58.695652173913039</v>
          </cell>
          <cell r="G40">
            <v>2.403120521175818</v>
          </cell>
        </row>
        <row r="41">
          <cell r="B41">
            <v>2.3665683535332263</v>
          </cell>
          <cell r="C41">
            <v>-8.3267124829676575E-2</v>
          </cell>
          <cell r="F41">
            <v>63.043478260869556</v>
          </cell>
          <cell r="G41">
            <v>2.4638929889859074</v>
          </cell>
        </row>
        <row r="42">
          <cell r="B42">
            <v>2.1926004475055061</v>
          </cell>
          <cell r="C42">
            <v>0.10406474275602484</v>
          </cell>
          <cell r="F42">
            <v>67.391304347826093</v>
          </cell>
          <cell r="G42">
            <v>2.4638929889859074</v>
          </cell>
        </row>
        <row r="43">
          <cell r="B43">
            <v>2.8427966574754149</v>
          </cell>
          <cell r="C43">
            <v>0.15327699700986042</v>
          </cell>
          <cell r="F43">
            <v>71.739130434782609</v>
          </cell>
          <cell r="G43">
            <v>2.4742162640762553</v>
          </cell>
        </row>
        <row r="44">
          <cell r="B44">
            <v>3.0948203803547996</v>
          </cell>
          <cell r="C44">
            <v>4.4408920985006262E-16</v>
          </cell>
          <cell r="F44">
            <v>76.086956521739125</v>
          </cell>
          <cell r="G44">
            <v>2.5078558716958308</v>
          </cell>
        </row>
        <row r="45">
          <cell r="B45">
            <v>2.8787301034500401</v>
          </cell>
          <cell r="C45">
            <v>5.3236011278132711E-2</v>
          </cell>
          <cell r="F45">
            <v>80.434782608695656</v>
          </cell>
          <cell r="G45">
            <v>2.5854607295085006</v>
          </cell>
        </row>
        <row r="46">
          <cell r="B46">
            <v>2.5583133308800861</v>
          </cell>
          <cell r="C46">
            <v>-9.4420341894178694E-2</v>
          </cell>
          <cell r="F46">
            <v>84.782608695652172</v>
          </cell>
          <cell r="G46">
            <v>2.716003343634799</v>
          </cell>
        </row>
        <row r="47">
          <cell r="B47">
            <v>2.1779874952559855</v>
          </cell>
          <cell r="C47">
            <v>-2.265145779092359E-2</v>
          </cell>
          <cell r="F47">
            <v>89.130434782608702</v>
          </cell>
          <cell r="G47">
            <v>2.9319661147281728</v>
          </cell>
        </row>
        <row r="48">
          <cell r="B48">
            <v>2.2792050971830209</v>
          </cell>
          <cell r="C48">
            <v>0.12391542399279709</v>
          </cell>
          <cell r="F48">
            <v>93.478260869565219</v>
          </cell>
          <cell r="G48">
            <v>2.9960736544852753</v>
          </cell>
        </row>
        <row r="49">
          <cell r="B49">
            <v>2.3820047586448658</v>
          </cell>
          <cell r="C49">
            <v>0.20345597086363476</v>
          </cell>
          <cell r="F49">
            <v>97.826086956521735</v>
          </cell>
          <cell r="G49">
            <v>3.0948203803548</v>
          </cell>
        </row>
      </sheetData>
      <sheetData sheetId="2">
        <row r="17">
          <cell r="B17">
            <v>-0.15180757811046194</v>
          </cell>
        </row>
        <row r="27">
          <cell r="B27">
            <v>1.884888573935027</v>
          </cell>
          <cell r="C27">
            <v>8.3594374618908063E-2</v>
          </cell>
          <cell r="F27">
            <v>2.1739130434782608</v>
          </cell>
          <cell r="G27">
            <v>1.6901960800285136</v>
          </cell>
        </row>
        <row r="28">
          <cell r="B28">
            <v>1.9402432766796849</v>
          </cell>
          <cell r="C28">
            <v>9.3180478807264988E-2</v>
          </cell>
          <cell r="F28">
            <v>6.5217391304347823</v>
          </cell>
          <cell r="G28">
            <v>1.8976270912904414</v>
          </cell>
        </row>
        <row r="29">
          <cell r="B29">
            <v>2.0800377942716861</v>
          </cell>
          <cell r="C29">
            <v>0.11029390389860527</v>
          </cell>
          <cell r="F29">
            <v>10.869565217391305</v>
          </cell>
          <cell r="G29">
            <v>1.9030899869919435</v>
          </cell>
        </row>
        <row r="30">
          <cell r="B30">
            <v>2.0773863894209357</v>
          </cell>
          <cell r="C30">
            <v>-6.4549164715763663E-2</v>
          </cell>
          <cell r="F30">
            <v>15.217391304347824</v>
          </cell>
          <cell r="G30">
            <v>1.919078092376074</v>
          </cell>
        </row>
        <row r="31">
          <cell r="B31">
            <v>2.2575674835087498</v>
          </cell>
          <cell r="C31">
            <v>6.0495851454011706E-2</v>
          </cell>
          <cell r="F31">
            <v>19.565217391304348</v>
          </cell>
          <cell r="G31">
            <v>1.9590413923210936</v>
          </cell>
        </row>
        <row r="32">
          <cell r="B32">
            <v>2.0014359914472788</v>
          </cell>
          <cell r="C32">
            <v>1.1401233257893217E-2</v>
          </cell>
          <cell r="F32">
            <v>23.913043478260871</v>
          </cell>
          <cell r="G32">
            <v>1.968482948553935</v>
          </cell>
        </row>
        <row r="33">
          <cell r="B33">
            <v>2.158239680452378</v>
          </cell>
          <cell r="C33">
            <v>5.3947923951579657E-2</v>
          </cell>
          <cell r="F33">
            <v>28.260869565217391</v>
          </cell>
          <cell r="G33">
            <v>2.012837224705172</v>
          </cell>
        </row>
        <row r="34">
          <cell r="B34">
            <v>2.3729386842348021</v>
          </cell>
          <cell r="C34">
            <v>6.1630219799396535E-2</v>
          </cell>
          <cell r="F34">
            <v>32.608695652173907</v>
          </cell>
          <cell r="G34">
            <v>2.012837224705172</v>
          </cell>
        </row>
        <row r="35">
          <cell r="B35">
            <v>1.98550139078685</v>
          </cell>
          <cell r="C35">
            <v>-6.6423298410775988E-2</v>
          </cell>
          <cell r="F35">
            <v>36.95652173913043</v>
          </cell>
          <cell r="G35">
            <v>2.0170333392987803</v>
          </cell>
        </row>
        <row r="36">
          <cell r="B36">
            <v>1.8992067389818714</v>
          </cell>
          <cell r="C36">
            <v>5.9834653339222221E-2</v>
          </cell>
          <cell r="F36">
            <v>41.304347826086953</v>
          </cell>
          <cell r="G36">
            <v>2.0334237554869499</v>
          </cell>
        </row>
        <row r="37">
          <cell r="B37">
            <v>1.9547122546302866</v>
          </cell>
          <cell r="C37">
            <v>-5.7085163339845257E-2</v>
          </cell>
          <cell r="F37">
            <v>45.652173913043477</v>
          </cell>
          <cell r="G37">
            <v>2.0569048513364727</v>
          </cell>
        </row>
        <row r="38">
          <cell r="B38">
            <v>2.2491851335248025</v>
          </cell>
          <cell r="C38">
            <v>-0.18472714429788395</v>
          </cell>
          <cell r="F38">
            <v>49.999999999999993</v>
          </cell>
          <cell r="G38">
            <v>2.0644579892269186</v>
          </cell>
        </row>
        <row r="39">
          <cell r="B39">
            <v>2.0372565597920107</v>
          </cell>
          <cell r="C39">
            <v>4.1924686255613963E-2</v>
          </cell>
          <cell r="F39">
            <v>54.347826086956516</v>
          </cell>
          <cell r="G39">
            <v>2.0681858617461617</v>
          </cell>
        </row>
        <row r="40">
          <cell r="B40">
            <v>1.8570720085843089</v>
          </cell>
          <cell r="C40">
            <v>-0.16687592855579525</v>
          </cell>
          <cell r="F40">
            <v>58.695652173913039</v>
          </cell>
          <cell r="G40">
            <v>2.0791812460476247</v>
          </cell>
        </row>
        <row r="41">
          <cell r="B41">
            <v>1.9843729202774039</v>
          </cell>
          <cell r="C41">
            <v>7.2531931059068855E-2</v>
          </cell>
          <cell r="F41">
            <v>63.043478260869556</v>
          </cell>
          <cell r="G41">
            <v>2.1335389083702174</v>
          </cell>
        </row>
        <row r="42">
          <cell r="B42">
            <v>2.0690505280487117</v>
          </cell>
          <cell r="C42">
            <v>-0.16596054105676816</v>
          </cell>
          <cell r="F42">
            <v>67.391304347826093</v>
          </cell>
          <cell r="G42">
            <v>2.1903316981702914</v>
          </cell>
        </row>
        <row r="43">
          <cell r="B43">
            <v>2.1932484478390113</v>
          </cell>
          <cell r="C43">
            <v>-5.9709539468793871E-2</v>
          </cell>
          <cell r="F43">
            <v>71.739130434782609</v>
          </cell>
          <cell r="G43">
            <v>2.2121876044039577</v>
          </cell>
        </row>
        <row r="44">
          <cell r="B44">
            <v>2.3118382375867479</v>
          </cell>
          <cell r="C44">
            <v>-8.6528955860885048E-2</v>
          </cell>
          <cell r="F44">
            <v>76.086956521739125</v>
          </cell>
          <cell r="G44">
            <v>2.2253092817258628</v>
          </cell>
        </row>
        <row r="45">
          <cell r="B45">
            <v>2.2698500571648932</v>
          </cell>
          <cell r="C45">
            <v>9.5637927726006655E-2</v>
          </cell>
          <cell r="F45">
            <v>80.434782608695656</v>
          </cell>
          <cell r="G45">
            <v>2.2329961103921536</v>
          </cell>
        </row>
        <row r="46">
          <cell r="B46">
            <v>2.1865360397865725</v>
          </cell>
          <cell r="C46">
            <v>0.12733118058258075</v>
          </cell>
          <cell r="F46">
            <v>84.782608695652172</v>
          </cell>
          <cell r="G46">
            <v>2.3138672203691533</v>
          </cell>
        </row>
        <row r="47">
          <cell r="B47">
            <v>1.9780105556405796</v>
          </cell>
          <cell r="C47">
            <v>3.9022783658200666E-2</v>
          </cell>
          <cell r="F47">
            <v>89.130434782608702</v>
          </cell>
          <cell r="G47">
            <v>2.3180633349627615</v>
          </cell>
        </row>
        <row r="48">
          <cell r="B48">
            <v>2.1777538420516809</v>
          </cell>
          <cell r="C48">
            <v>-0.10956798030551917</v>
          </cell>
          <cell r="F48">
            <v>93.478260869565219</v>
          </cell>
          <cell r="G48">
            <v>2.3654879848908998</v>
          </cell>
        </row>
        <row r="49">
          <cell r="B49">
            <v>2.1823955427884822</v>
          </cell>
          <cell r="C49">
            <v>5.0600567603671376E-2</v>
          </cell>
          <cell r="F49">
            <v>97.826086956521735</v>
          </cell>
          <cell r="G49">
            <v>2.4345689040341987</v>
          </cell>
        </row>
      </sheetData>
      <sheetData sheetId="3">
        <row r="2">
          <cell r="C2">
            <v>2.2380461031287955</v>
          </cell>
          <cell r="D2">
            <v>0</v>
          </cell>
          <cell r="E2">
            <v>21</v>
          </cell>
          <cell r="F2">
            <v>93</v>
          </cell>
        </row>
        <row r="3">
          <cell r="C3">
            <v>2.2922560713564759</v>
          </cell>
          <cell r="D3">
            <v>0</v>
          </cell>
          <cell r="E3">
            <v>21</v>
          </cell>
          <cell r="F3">
            <v>108</v>
          </cell>
        </row>
        <row r="4">
          <cell r="C4">
            <v>2.2900346113625178</v>
          </cell>
          <cell r="D4">
            <v>0</v>
          </cell>
          <cell r="E4">
            <v>13</v>
          </cell>
          <cell r="F4">
            <v>155</v>
          </cell>
        </row>
        <row r="5">
          <cell r="C5">
            <v>2.3222192947339191</v>
          </cell>
          <cell r="D5">
            <v>0</v>
          </cell>
          <cell r="E5">
            <v>15</v>
          </cell>
          <cell r="F5">
            <v>103</v>
          </cell>
        </row>
        <row r="6">
          <cell r="C6">
            <v>2.4638929889859074</v>
          </cell>
          <cell r="D6">
            <v>0</v>
          </cell>
          <cell r="E6">
            <v>13</v>
          </cell>
          <cell r="F6">
            <v>208</v>
          </cell>
        </row>
        <row r="7">
          <cell r="C7">
            <v>2.2304489213782741</v>
          </cell>
          <cell r="D7">
            <v>0</v>
          </cell>
          <cell r="E7">
            <v>14</v>
          </cell>
          <cell r="F7">
            <v>103</v>
          </cell>
        </row>
        <row r="8">
          <cell r="C8">
            <v>2.4014005407815442</v>
          </cell>
          <cell r="D8">
            <v>0</v>
          </cell>
          <cell r="E8">
            <v>15</v>
          </cell>
          <cell r="F8">
            <v>163</v>
          </cell>
        </row>
        <row r="9">
          <cell r="C9">
            <v>2.716003343634799</v>
          </cell>
          <cell r="D9">
            <v>0</v>
          </cell>
          <cell r="E9">
            <v>21</v>
          </cell>
          <cell r="F9">
            <v>272</v>
          </cell>
        </row>
        <row r="10">
          <cell r="C10">
            <v>2.214843848047698</v>
          </cell>
          <cell r="D10">
            <v>0</v>
          </cell>
          <cell r="E10">
            <v>14</v>
          </cell>
          <cell r="F10">
            <v>83</v>
          </cell>
        </row>
        <row r="11">
          <cell r="C11">
            <v>2.1303337684950061</v>
          </cell>
          <cell r="D11">
            <v>0</v>
          </cell>
          <cell r="E11">
            <v>14</v>
          </cell>
          <cell r="F11">
            <v>91</v>
          </cell>
        </row>
        <row r="12">
          <cell r="C12">
            <v>2.1846914308175989</v>
          </cell>
          <cell r="D12">
            <v>0</v>
          </cell>
          <cell r="E12">
            <v>14</v>
          </cell>
          <cell r="F12">
            <v>79</v>
          </cell>
        </row>
        <row r="13">
          <cell r="C13">
            <v>2.5078558716958308</v>
          </cell>
          <cell r="D13">
            <v>0</v>
          </cell>
          <cell r="E13">
            <v>16</v>
          </cell>
          <cell r="F13">
            <v>116</v>
          </cell>
        </row>
        <row r="14">
          <cell r="C14">
            <v>2.4742162640762553</v>
          </cell>
          <cell r="D14">
            <v>0</v>
          </cell>
          <cell r="E14">
            <v>26</v>
          </cell>
          <cell r="F14">
            <v>120</v>
          </cell>
        </row>
        <row r="15">
          <cell r="C15">
            <v>2.1238516409670858</v>
          </cell>
          <cell r="D15">
            <v>0</v>
          </cell>
          <cell r="E15">
            <v>16</v>
          </cell>
          <cell r="F15">
            <v>49</v>
          </cell>
        </row>
        <row r="16">
          <cell r="C16">
            <v>2.2833012287035497</v>
          </cell>
          <cell r="D16">
            <v>0</v>
          </cell>
          <cell r="E16">
            <v>18</v>
          </cell>
          <cell r="F16">
            <v>114</v>
          </cell>
        </row>
        <row r="17">
          <cell r="C17">
            <v>2.2966651902615309</v>
          </cell>
          <cell r="D17">
            <v>0</v>
          </cell>
          <cell r="E17">
            <v>14</v>
          </cell>
          <cell r="F17">
            <v>80</v>
          </cell>
        </row>
        <row r="18">
          <cell r="C18">
            <v>2.9960736544852753</v>
          </cell>
          <cell r="D18">
            <v>0</v>
          </cell>
          <cell r="E18">
            <v>36</v>
          </cell>
          <cell r="F18">
            <v>136</v>
          </cell>
        </row>
        <row r="19">
          <cell r="C19">
            <v>3.0948203803548</v>
          </cell>
          <cell r="D19">
            <v>1</v>
          </cell>
          <cell r="E19">
            <v>35</v>
          </cell>
          <cell r="F19">
            <v>168</v>
          </cell>
        </row>
        <row r="20">
          <cell r="C20">
            <v>2.9319661147281728</v>
          </cell>
          <cell r="D20">
            <v>0</v>
          </cell>
          <cell r="E20">
            <v>28</v>
          </cell>
          <cell r="F20">
            <v>232</v>
          </cell>
        </row>
        <row r="21">
          <cell r="C21">
            <v>2.4638929889859074</v>
          </cell>
          <cell r="D21">
            <v>0</v>
          </cell>
          <cell r="E21">
            <v>17</v>
          </cell>
          <cell r="F21">
            <v>206</v>
          </cell>
        </row>
        <row r="22">
          <cell r="C22">
            <v>2.1553360374650619</v>
          </cell>
          <cell r="D22">
            <v>0</v>
          </cell>
          <cell r="E22">
            <v>11</v>
          </cell>
          <cell r="F22">
            <v>104</v>
          </cell>
        </row>
        <row r="23">
          <cell r="C23">
            <v>2.403120521175818</v>
          </cell>
          <cell r="D23">
            <v>0</v>
          </cell>
          <cell r="E23">
            <v>14</v>
          </cell>
          <cell r="F23">
            <v>117</v>
          </cell>
        </row>
        <row r="24">
          <cell r="C24">
            <v>2.5854607295085006</v>
          </cell>
          <cell r="D24">
            <v>0</v>
          </cell>
          <cell r="E24">
            <v>13</v>
          </cell>
          <cell r="F24">
            <v>171</v>
          </cell>
        </row>
        <row r="31">
          <cell r="C31">
            <v>1.968482948553935</v>
          </cell>
          <cell r="D31">
            <v>2.2380461031287955</v>
          </cell>
          <cell r="E31">
            <v>14</v>
          </cell>
          <cell r="F31">
            <v>0</v>
          </cell>
        </row>
        <row r="32">
          <cell r="C32">
            <v>2.0334237554869499</v>
          </cell>
          <cell r="D32">
            <v>2.2922560713564759</v>
          </cell>
          <cell r="E32">
            <v>14</v>
          </cell>
          <cell r="F32">
            <v>0</v>
          </cell>
        </row>
        <row r="33">
          <cell r="C33">
            <v>2.1903316981702914</v>
          </cell>
          <cell r="D33">
            <v>2.2900346113625178</v>
          </cell>
          <cell r="E33">
            <v>6</v>
          </cell>
          <cell r="F33">
            <v>0</v>
          </cell>
        </row>
        <row r="34">
          <cell r="C34">
            <v>2.012837224705172</v>
          </cell>
          <cell r="D34">
            <v>2.3222192947339191</v>
          </cell>
          <cell r="E34">
            <v>8</v>
          </cell>
          <cell r="F34">
            <v>0</v>
          </cell>
        </row>
        <row r="35">
          <cell r="C35">
            <v>2.3180633349627615</v>
          </cell>
          <cell r="D35">
            <v>2.4638929889859074</v>
          </cell>
          <cell r="E35">
            <v>6</v>
          </cell>
          <cell r="F35">
            <v>0</v>
          </cell>
        </row>
        <row r="36">
          <cell r="C36">
            <v>2.012837224705172</v>
          </cell>
          <cell r="D36">
            <v>2.2304489213782741</v>
          </cell>
          <cell r="E36">
            <v>7</v>
          </cell>
          <cell r="F36">
            <v>0</v>
          </cell>
        </row>
        <row r="37">
          <cell r="C37">
            <v>2.2121876044039577</v>
          </cell>
          <cell r="D37">
            <v>2.4014005407815442</v>
          </cell>
          <cell r="E37">
            <v>8</v>
          </cell>
          <cell r="F37">
            <v>0</v>
          </cell>
        </row>
        <row r="38">
          <cell r="C38">
            <v>2.4345689040341987</v>
          </cell>
          <cell r="D38">
            <v>2.716003343634799</v>
          </cell>
          <cell r="E38">
            <v>14</v>
          </cell>
          <cell r="F38">
            <v>0</v>
          </cell>
        </row>
        <row r="39">
          <cell r="C39">
            <v>1.919078092376074</v>
          </cell>
          <cell r="D39">
            <v>2.214843848047698</v>
          </cell>
          <cell r="E39">
            <v>7</v>
          </cell>
          <cell r="F39">
            <v>0</v>
          </cell>
        </row>
        <row r="40">
          <cell r="C40">
            <v>1.9590413923210936</v>
          </cell>
          <cell r="D40">
            <v>2.1303337684950061</v>
          </cell>
          <cell r="E40">
            <v>7</v>
          </cell>
          <cell r="F40">
            <v>0</v>
          </cell>
        </row>
        <row r="41">
          <cell r="C41">
            <v>1.8976270912904414</v>
          </cell>
          <cell r="D41">
            <v>2.1846914308175989</v>
          </cell>
          <cell r="E41">
            <v>7</v>
          </cell>
          <cell r="F41">
            <v>0</v>
          </cell>
        </row>
        <row r="42">
          <cell r="C42">
            <v>2.0644579892269186</v>
          </cell>
          <cell r="D42">
            <v>2.5078558716958308</v>
          </cell>
          <cell r="E42">
            <v>9</v>
          </cell>
          <cell r="F42">
            <v>0</v>
          </cell>
        </row>
        <row r="43">
          <cell r="C43">
            <v>2.0791812460476247</v>
          </cell>
          <cell r="D43">
            <v>2.4742162640762553</v>
          </cell>
          <cell r="E43">
            <v>19</v>
          </cell>
          <cell r="F43">
            <v>0</v>
          </cell>
        </row>
        <row r="44">
          <cell r="C44">
            <v>1.6901960800285136</v>
          </cell>
          <cell r="D44">
            <v>2.1238516409670858</v>
          </cell>
          <cell r="E44">
            <v>9</v>
          </cell>
          <cell r="F44">
            <v>0</v>
          </cell>
        </row>
        <row r="45">
          <cell r="C45">
            <v>2.0569048513364727</v>
          </cell>
          <cell r="D45">
            <v>2.2833012287035497</v>
          </cell>
          <cell r="E45">
            <v>11</v>
          </cell>
          <cell r="F45">
            <v>0</v>
          </cell>
        </row>
        <row r="46">
          <cell r="C46">
            <v>1.9030899869919435</v>
          </cell>
          <cell r="D46">
            <v>2.2966651902615309</v>
          </cell>
          <cell r="E46">
            <v>7</v>
          </cell>
          <cell r="F46">
            <v>0</v>
          </cell>
        </row>
        <row r="47">
          <cell r="C47">
            <v>2.1335389083702174</v>
          </cell>
          <cell r="D47">
            <v>2.9960736544852753</v>
          </cell>
          <cell r="E47">
            <v>29</v>
          </cell>
          <cell r="F47">
            <v>1</v>
          </cell>
        </row>
        <row r="48">
          <cell r="C48">
            <v>2.2253092817258628</v>
          </cell>
          <cell r="D48">
            <v>3.0948203803548</v>
          </cell>
          <cell r="E48">
            <v>28</v>
          </cell>
          <cell r="F48">
            <v>1</v>
          </cell>
        </row>
        <row r="49">
          <cell r="C49">
            <v>2.3654879848908998</v>
          </cell>
          <cell r="D49">
            <v>2.9319661147281728</v>
          </cell>
          <cell r="E49">
            <v>21</v>
          </cell>
          <cell r="F49">
            <v>1</v>
          </cell>
        </row>
        <row r="50">
          <cell r="C50">
            <v>2.3138672203691533</v>
          </cell>
          <cell r="D50">
            <v>2.4638929889859074</v>
          </cell>
          <cell r="E50">
            <v>10</v>
          </cell>
          <cell r="F50">
            <v>0</v>
          </cell>
        </row>
        <row r="51">
          <cell r="C51">
            <v>2.0170333392987803</v>
          </cell>
          <cell r="D51">
            <v>2.1553360374650619</v>
          </cell>
          <cell r="E51">
            <v>4</v>
          </cell>
          <cell r="F51">
            <v>0</v>
          </cell>
        </row>
        <row r="52">
          <cell r="C52">
            <v>2.0681858617461617</v>
          </cell>
          <cell r="D52">
            <v>2.403120521175818</v>
          </cell>
          <cell r="E52">
            <v>7</v>
          </cell>
          <cell r="F52">
            <v>0</v>
          </cell>
        </row>
        <row r="53">
          <cell r="C53">
            <v>2.2329961103921536</v>
          </cell>
          <cell r="D53">
            <v>2.5854607295085006</v>
          </cell>
          <cell r="E53">
            <v>6</v>
          </cell>
          <cell r="F53">
            <v>1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swers"/>
      <sheetName val="OldRegr1"/>
      <sheetName val="LogRegr1"/>
      <sheetName val="MultLogRegr1"/>
      <sheetName val="1.1"/>
      <sheetName val="task.1.2"/>
      <sheetName val="task 1.3 newsvendor"/>
      <sheetName val="task 1.3"/>
      <sheetName val="MultiLogRegr2"/>
      <sheetName val="MultiLogRegr1stWeek2"/>
      <sheetName val="MultiLogRegr1stWeek"/>
      <sheetName val="task 2.5"/>
      <sheetName val="task 2.6"/>
      <sheetName val="Regression2"/>
      <sheetName val="LEC_Summary2"/>
      <sheetName val="unsuccessful trial 2.5"/>
      <sheetName val="2.5"/>
      <sheetName val="3.2"/>
      <sheetName val="3.3"/>
      <sheetName val="TV Daily Sales Data"/>
      <sheetName val="LEC_pivot"/>
      <sheetName val="RawData"/>
    </sheetNames>
    <sheetDataSet>
      <sheetData sheetId="0"/>
      <sheetData sheetId="1"/>
      <sheetData sheetId="2"/>
      <sheetData sheetId="3">
        <row r="26">
          <cell r="B26">
            <v>2.4990072316460825</v>
          </cell>
          <cell r="C26">
            <v>-0.26096112851728703</v>
          </cell>
          <cell r="F26">
            <v>2.1739130434782608</v>
          </cell>
          <cell r="G26">
            <v>2.1238516409670858</v>
          </cell>
        </row>
        <row r="27">
          <cell r="B27">
            <v>2.4990072316460825</v>
          </cell>
          <cell r="C27">
            <v>-0.20675116028960661</v>
          </cell>
          <cell r="F27">
            <v>6.5217391304347823</v>
          </cell>
          <cell r="G27">
            <v>2.1303337684950061</v>
          </cell>
        </row>
        <row r="28">
          <cell r="B28">
            <v>2.2659561617549744</v>
          </cell>
          <cell r="C28">
            <v>2.4078449607543462E-2</v>
          </cell>
          <cell r="F28">
            <v>10.869565217391305</v>
          </cell>
          <cell r="G28">
            <v>2.1553360374650619</v>
          </cell>
        </row>
        <row r="29">
          <cell r="B29">
            <v>2.3242189292277513</v>
          </cell>
          <cell r="C29">
            <v>-1.9996344938322252E-3</v>
          </cell>
          <cell r="F29">
            <v>15.217391304347824</v>
          </cell>
          <cell r="G29">
            <v>2.1846914308175989</v>
          </cell>
        </row>
        <row r="30">
          <cell r="B30">
            <v>2.2659561617549744</v>
          </cell>
          <cell r="C30">
            <v>0.19793682723093298</v>
          </cell>
          <cell r="F30">
            <v>19.565217391304348</v>
          </cell>
          <cell r="G30">
            <v>2.214843848047698</v>
          </cell>
        </row>
        <row r="31">
          <cell r="B31">
            <v>2.2950875454913628</v>
          </cell>
          <cell r="C31">
            <v>-6.4638624113088738E-2</v>
          </cell>
          <cell r="F31">
            <v>23.913043478260871</v>
          </cell>
          <cell r="G31">
            <v>2.2304489213782741</v>
          </cell>
        </row>
        <row r="32">
          <cell r="B32">
            <v>2.3242189292277513</v>
          </cell>
          <cell r="C32">
            <v>7.7181611553792884E-2</v>
          </cell>
          <cell r="F32">
            <v>28.260869565217391</v>
          </cell>
          <cell r="G32">
            <v>2.2380461031287955</v>
          </cell>
        </row>
        <row r="33">
          <cell r="B33">
            <v>2.4990072316460825</v>
          </cell>
          <cell r="C33">
            <v>0.21699611198871649</v>
          </cell>
          <cell r="F33">
            <v>32.608695652173907</v>
          </cell>
          <cell r="G33">
            <v>2.2833012287035497</v>
          </cell>
        </row>
        <row r="34">
          <cell r="B34">
            <v>2.2950875454913628</v>
          </cell>
          <cell r="C34">
            <v>-8.0243697443664885E-2</v>
          </cell>
          <cell r="F34">
            <v>36.95652173913043</v>
          </cell>
          <cell r="G34">
            <v>2.2900346113625178</v>
          </cell>
        </row>
        <row r="35">
          <cell r="B35">
            <v>2.2950875454913628</v>
          </cell>
          <cell r="C35">
            <v>-0.16475377699635674</v>
          </cell>
          <cell r="F35">
            <v>41.304347826086953</v>
          </cell>
          <cell r="G35">
            <v>2.2922560713564759</v>
          </cell>
        </row>
        <row r="36">
          <cell r="B36">
            <v>2.2950875454913628</v>
          </cell>
          <cell r="C36">
            <v>-0.11039611467376398</v>
          </cell>
          <cell r="F36">
            <v>45.652173913043477</v>
          </cell>
          <cell r="G36">
            <v>2.2966651902615309</v>
          </cell>
        </row>
        <row r="37">
          <cell r="B37">
            <v>2.3533503129641398</v>
          </cell>
          <cell r="C37">
            <v>0.15450555873169103</v>
          </cell>
          <cell r="F37">
            <v>49.999999999999993</v>
          </cell>
          <cell r="G37">
            <v>2.3222192947339191</v>
          </cell>
        </row>
        <row r="38">
          <cell r="B38">
            <v>2.6446641503280253</v>
          </cell>
          <cell r="C38">
            <v>-0.17044788625176999</v>
          </cell>
          <cell r="F38">
            <v>54.347826086956516</v>
          </cell>
          <cell r="G38">
            <v>2.4014005407815442</v>
          </cell>
        </row>
        <row r="39">
          <cell r="B39">
            <v>2.3533503129641398</v>
          </cell>
          <cell r="C39">
            <v>-0.22949867199705398</v>
          </cell>
          <cell r="F39">
            <v>58.695652173913039</v>
          </cell>
          <cell r="G39">
            <v>2.403120521175818</v>
          </cell>
        </row>
        <row r="40">
          <cell r="B40">
            <v>2.4116130804369167</v>
          </cell>
          <cell r="C40">
            <v>-0.12831185173336701</v>
          </cell>
          <cell r="F40">
            <v>63.043478260869556</v>
          </cell>
          <cell r="G40">
            <v>2.4638929889859074</v>
          </cell>
        </row>
        <row r="41">
          <cell r="B41">
            <v>2.2950875454913628</v>
          </cell>
          <cell r="C41">
            <v>1.5776447701680851E-3</v>
          </cell>
          <cell r="F41">
            <v>67.391304347826093</v>
          </cell>
          <cell r="G41">
            <v>2.4638929889859074</v>
          </cell>
        </row>
        <row r="42">
          <cell r="B42">
            <v>2.9359779876919099</v>
          </cell>
          <cell r="C42">
            <v>6.0095666793365421E-2</v>
          </cell>
          <cell r="F42">
            <v>71.739130434782609</v>
          </cell>
          <cell r="G42">
            <v>2.4742162640762553</v>
          </cell>
        </row>
        <row r="43">
          <cell r="B43">
            <v>3.0948203803547991</v>
          </cell>
          <cell r="C43">
            <v>8.8817841970012523E-16</v>
          </cell>
          <cell r="F43">
            <v>76.086956521739125</v>
          </cell>
          <cell r="G43">
            <v>2.5078558716958308</v>
          </cell>
        </row>
        <row r="44">
          <cell r="B44">
            <v>2.7029269178008022</v>
          </cell>
          <cell r="C44">
            <v>0.22903919692737063</v>
          </cell>
          <cell r="F44">
            <v>80.434782608695656</v>
          </cell>
          <cell r="G44">
            <v>2.5854607295085006</v>
          </cell>
        </row>
        <row r="45">
          <cell r="B45">
            <v>2.3824816967005287</v>
          </cell>
          <cell r="C45">
            <v>8.1411292285378689E-2</v>
          </cell>
          <cell r="F45">
            <v>84.782608695652172</v>
          </cell>
          <cell r="G45">
            <v>2.716003343634799</v>
          </cell>
        </row>
        <row r="46">
          <cell r="B46">
            <v>2.2076933942821975</v>
          </cell>
          <cell r="C46">
            <v>-5.2357356817135603E-2</v>
          </cell>
          <cell r="F46">
            <v>89.130434782608702</v>
          </cell>
          <cell r="G46">
            <v>2.9319661147281728</v>
          </cell>
        </row>
        <row r="47">
          <cell r="B47">
            <v>2.2950875454913628</v>
          </cell>
          <cell r="C47">
            <v>0.10803297568445513</v>
          </cell>
          <cell r="F47">
            <v>93.478260869565219</v>
          </cell>
          <cell r="G47">
            <v>2.9960736544852753</v>
          </cell>
        </row>
        <row r="48">
          <cell r="B48">
            <v>2.2659561617549744</v>
          </cell>
          <cell r="C48">
            <v>0.3195045677535262</v>
          </cell>
          <cell r="F48">
            <v>97.826086956521735</v>
          </cell>
          <cell r="G48">
            <v>3.0948203803548</v>
          </cell>
        </row>
      </sheetData>
      <sheetData sheetId="4"/>
      <sheetData sheetId="5">
        <row r="3">
          <cell r="N3">
            <v>2.2380461031287955</v>
          </cell>
          <cell r="O3">
            <v>0</v>
          </cell>
          <cell r="P3">
            <v>21</v>
          </cell>
        </row>
        <row r="4">
          <cell r="N4">
            <v>2.2922560713564759</v>
          </cell>
          <cell r="O4">
            <v>0</v>
          </cell>
          <cell r="P4">
            <v>21</v>
          </cell>
        </row>
        <row r="5">
          <cell r="N5">
            <v>2.2900346113625178</v>
          </cell>
          <cell r="O5">
            <v>0</v>
          </cell>
          <cell r="P5">
            <v>13</v>
          </cell>
        </row>
        <row r="6">
          <cell r="N6">
            <v>2.3222192947339191</v>
          </cell>
          <cell r="O6">
            <v>0</v>
          </cell>
          <cell r="P6">
            <v>15</v>
          </cell>
        </row>
        <row r="7">
          <cell r="N7">
            <v>2.4638929889859074</v>
          </cell>
          <cell r="O7">
            <v>0</v>
          </cell>
          <cell r="P7">
            <v>13</v>
          </cell>
        </row>
        <row r="8">
          <cell r="N8">
            <v>2.2304489213782741</v>
          </cell>
          <cell r="O8">
            <v>0</v>
          </cell>
          <cell r="P8">
            <v>14</v>
          </cell>
        </row>
        <row r="9">
          <cell r="N9">
            <v>2.4014005407815442</v>
          </cell>
          <cell r="O9">
            <v>0</v>
          </cell>
          <cell r="P9">
            <v>15</v>
          </cell>
        </row>
        <row r="10">
          <cell r="N10">
            <v>2.716003343634799</v>
          </cell>
          <cell r="O10">
            <v>0</v>
          </cell>
          <cell r="P10">
            <v>21</v>
          </cell>
        </row>
        <row r="11">
          <cell r="N11">
            <v>2.214843848047698</v>
          </cell>
          <cell r="O11">
            <v>0</v>
          </cell>
          <cell r="P11">
            <v>14</v>
          </cell>
        </row>
        <row r="12">
          <cell r="N12">
            <v>2.1303337684950061</v>
          </cell>
          <cell r="O12">
            <v>0</v>
          </cell>
          <cell r="P12">
            <v>14</v>
          </cell>
        </row>
        <row r="13">
          <cell r="N13">
            <v>2.1846914308175989</v>
          </cell>
          <cell r="O13">
            <v>0</v>
          </cell>
          <cell r="P13">
            <v>14</v>
          </cell>
        </row>
        <row r="14">
          <cell r="N14">
            <v>2.5078558716958308</v>
          </cell>
          <cell r="O14">
            <v>0</v>
          </cell>
          <cell r="P14">
            <v>16</v>
          </cell>
        </row>
        <row r="15">
          <cell r="N15">
            <v>2.4742162640762553</v>
          </cell>
          <cell r="O15">
            <v>0</v>
          </cell>
          <cell r="P15">
            <v>26</v>
          </cell>
        </row>
        <row r="16">
          <cell r="N16">
            <v>2.1238516409670858</v>
          </cell>
          <cell r="O16">
            <v>0</v>
          </cell>
          <cell r="P16">
            <v>16</v>
          </cell>
        </row>
        <row r="17">
          <cell r="N17">
            <v>2.2833012287035497</v>
          </cell>
          <cell r="O17">
            <v>0</v>
          </cell>
          <cell r="P17">
            <v>18</v>
          </cell>
        </row>
        <row r="18">
          <cell r="N18">
            <v>2.2966651902615309</v>
          </cell>
          <cell r="O18">
            <v>0</v>
          </cell>
          <cell r="P18">
            <v>14</v>
          </cell>
        </row>
        <row r="19">
          <cell r="N19">
            <v>2.9960736544852753</v>
          </cell>
          <cell r="O19">
            <v>0</v>
          </cell>
          <cell r="P19">
            <v>36</v>
          </cell>
        </row>
        <row r="20">
          <cell r="N20">
            <v>3.0948203803548</v>
          </cell>
          <cell r="O20">
            <v>1</v>
          </cell>
          <cell r="P20">
            <v>35</v>
          </cell>
        </row>
        <row r="21">
          <cell r="N21">
            <v>2.9319661147281728</v>
          </cell>
          <cell r="O21">
            <v>0</v>
          </cell>
          <cell r="P21">
            <v>28</v>
          </cell>
        </row>
        <row r="22">
          <cell r="N22">
            <v>2.4638929889859074</v>
          </cell>
          <cell r="O22">
            <v>0</v>
          </cell>
          <cell r="P22">
            <v>17</v>
          </cell>
        </row>
        <row r="23">
          <cell r="N23">
            <v>2.1553360374650619</v>
          </cell>
          <cell r="O23">
            <v>0</v>
          </cell>
          <cell r="P23">
            <v>11</v>
          </cell>
        </row>
        <row r="24">
          <cell r="N24">
            <v>2.403120521175818</v>
          </cell>
          <cell r="O24">
            <v>0</v>
          </cell>
          <cell r="P24">
            <v>14</v>
          </cell>
        </row>
        <row r="25">
          <cell r="N25">
            <v>2.5854607295085006</v>
          </cell>
          <cell r="O25">
            <v>0</v>
          </cell>
          <cell r="P25">
            <v>13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2"/>
  <sheetViews>
    <sheetView tabSelected="1" topLeftCell="G1" zoomScale="87" workbookViewId="0">
      <selection activeCell="M2" sqref="M2"/>
    </sheetView>
  </sheetViews>
  <sheetFormatPr defaultRowHeight="14.4" x14ac:dyDescent="0.3"/>
  <cols>
    <col min="1" max="1" width="13.6640625" bestFit="1" customWidth="1"/>
    <col min="2" max="2" width="15.33203125" bestFit="1" customWidth="1"/>
    <col min="3" max="3" width="13.6640625" bestFit="1" customWidth="1"/>
    <col min="5" max="6" width="13.6640625" bestFit="1" customWidth="1"/>
    <col min="8" max="9" width="28.109375" bestFit="1" customWidth="1"/>
    <col min="11" max="11" width="12" bestFit="1" customWidth="1"/>
    <col min="12" max="12" width="16.88671875" bestFit="1" customWidth="1"/>
    <col min="13" max="13" width="26.88671875" bestFit="1" customWidth="1"/>
    <col min="14" max="14" width="27.109375" bestFit="1" customWidth="1"/>
    <col min="15" max="15" width="19.33203125" bestFit="1" customWidth="1"/>
    <col min="18" max="18" width="20.5546875" bestFit="1" customWidth="1"/>
    <col min="21" max="21" width="12.33203125" bestFit="1" customWidth="1"/>
    <col min="22" max="22" width="16.88671875" bestFit="1" customWidth="1"/>
    <col min="23" max="23" width="26.88671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9</v>
      </c>
      <c r="L1" t="s">
        <v>10</v>
      </c>
      <c r="M1" t="s">
        <v>11</v>
      </c>
      <c r="N1" t="s">
        <v>12</v>
      </c>
      <c r="O1">
        <f ca="1">ROUNDUP(AVERAGE(L2:L1001),0)</f>
        <v>347</v>
      </c>
      <c r="R1" t="s">
        <v>13</v>
      </c>
    </row>
    <row r="2" spans="1:23" x14ac:dyDescent="0.3">
      <c r="A2" s="2">
        <v>1</v>
      </c>
      <c r="B2" s="2">
        <v>173</v>
      </c>
      <c r="C2" s="1">
        <f>LOG10(B2)</f>
        <v>2.2380461031287955</v>
      </c>
      <c r="D2" s="1">
        <v>0</v>
      </c>
      <c r="E2" s="3">
        <v>21</v>
      </c>
      <c r="F2" s="1">
        <v>93</v>
      </c>
      <c r="G2" s="1">
        <v>14</v>
      </c>
      <c r="H2" s="1">
        <f>ROUNDUP(10^(MultiLogRegr2!$B$17 + D2*MultiLogRegr2!$B$18 + E2*MultiLogRegr2!$B$19 + MultiLogRegr2!$B$20*F2),0)</f>
        <v>245</v>
      </c>
      <c r="I2" s="1">
        <f>ROUNDUP(10^(MultLogRegr1!$B$17+MultLogRegr1!$B$19*'task 2.5'!E2+MultLogRegr1!$B$18*'task 2.5'!D2),0)</f>
        <v>316</v>
      </c>
      <c r="K2">
        <v>1</v>
      </c>
      <c r="L2">
        <f ca="1">_xlfn.NORM.INV(RAND(),$S$3,$S$2)</f>
        <v>372.20065980569274</v>
      </c>
      <c r="M2">
        <f ca="1">IF(L2&lt;=0,0,10^(MultiLogRegr1stWeek!$B$17+LOG10(L2)*MultiLogRegr1stWeek!$B$18+MultiLogRegr1stWeek!$B$19*14+MultiLogRegr1stWeek!$B$20*0))</f>
        <v>167.74353231263484</v>
      </c>
      <c r="N2" t="s">
        <v>14</v>
      </c>
      <c r="O2">
        <f ca="1">ROUNDUP(AVERAGE(M2:M1001),0)</f>
        <v>167</v>
      </c>
      <c r="R2" t="s">
        <v>15</v>
      </c>
      <c r="S2">
        <v>294.63996922082822</v>
      </c>
      <c r="U2" t="s">
        <v>16</v>
      </c>
      <c r="V2" t="s">
        <v>10</v>
      </c>
      <c r="W2" t="s">
        <v>11</v>
      </c>
    </row>
    <row r="3" spans="1:23" x14ac:dyDescent="0.3">
      <c r="A3" s="2">
        <v>2</v>
      </c>
      <c r="B3" s="2">
        <v>196</v>
      </c>
      <c r="C3" s="1">
        <f t="shared" ref="C3:C25" si="0">LOG10(B3)</f>
        <v>2.2922560713564759</v>
      </c>
      <c r="D3" s="1">
        <v>0</v>
      </c>
      <c r="E3" s="3">
        <v>21</v>
      </c>
      <c r="F3" s="1">
        <v>108</v>
      </c>
      <c r="G3" s="1">
        <v>14</v>
      </c>
      <c r="H3" s="1">
        <f>ROUNDUP(10^(MultiLogRegr2!$B$17 + D3*MultiLogRegr2!$B$18 + E3*MultiLogRegr2!$B$19 + MultiLogRegr2!$B$20*F3),0)</f>
        <v>266</v>
      </c>
      <c r="I3" s="1">
        <f>ROUNDUP(10^(MultLogRegr1!$B$17+MultLogRegr1!$B$19*'task 2.5'!E3+MultLogRegr1!$B$18*'task 2.5'!D3),0)</f>
        <v>316</v>
      </c>
      <c r="K3">
        <v>2</v>
      </c>
      <c r="L3">
        <f t="shared" ref="L3:L66" ca="1" si="1">_xlfn.NORM.INV(RAND(),$S$3,$S$2)</f>
        <v>624.36634201782715</v>
      </c>
      <c r="M3">
        <f ca="1">IF(L3&lt;=0,0,10^(MultiLogRegr1stWeek!$B$17+LOG10(L3)*MultiLogRegr1stWeek!$B$18+MultiLogRegr1stWeek!$B$19*14+MultiLogRegr1stWeek!$B$20*0))</f>
        <v>284.48033546217948</v>
      </c>
      <c r="R3" t="s">
        <v>17</v>
      </c>
      <c r="S3">
        <v>337.56521739130437</v>
      </c>
      <c r="U3">
        <v>1</v>
      </c>
      <c r="V3">
        <f ca="1">O1</f>
        <v>347</v>
      </c>
      <c r="W3">
        <f ca="1">O2</f>
        <v>167</v>
      </c>
    </row>
    <row r="4" spans="1:23" x14ac:dyDescent="0.3">
      <c r="A4" s="2">
        <v>3</v>
      </c>
      <c r="B4" s="2">
        <v>195</v>
      </c>
      <c r="C4" s="1">
        <f t="shared" si="0"/>
        <v>2.2900346113625178</v>
      </c>
      <c r="D4" s="1">
        <v>0</v>
      </c>
      <c r="E4" s="3">
        <v>13</v>
      </c>
      <c r="F4" s="1">
        <v>155</v>
      </c>
      <c r="G4" s="1">
        <v>6</v>
      </c>
      <c r="H4" s="1">
        <f>ROUNDUP(10^(MultiLogRegr2!$B$17 + D4*MultiLogRegr2!$B$18 + E4*MultiLogRegr2!$B$19 + MultiLogRegr2!$B$20*F4),0)</f>
        <v>222</v>
      </c>
      <c r="I4" s="1">
        <f>ROUNDUP(10^(MultLogRegr1!$B$17+MultLogRegr1!$B$19*'task 2.5'!E4+MultLogRegr1!$B$18*'task 2.5'!D4),0)</f>
        <v>185</v>
      </c>
      <c r="K4">
        <v>3</v>
      </c>
      <c r="L4">
        <f t="shared" ca="1" si="1"/>
        <v>163.25287286643018</v>
      </c>
      <c r="M4">
        <f ca="1">IF(L4&lt;=0,0,10^(MultiLogRegr1stWeek!$B$17+LOG10(L4)*MultiLogRegr1stWeek!$B$18+MultiLogRegr1stWeek!$B$19*14+MultiLogRegr1stWeek!$B$20*0))</f>
        <v>72.305523382570414</v>
      </c>
      <c r="U4">
        <v>2</v>
      </c>
      <c r="V4">
        <v>343</v>
      </c>
      <c r="W4">
        <v>162</v>
      </c>
    </row>
    <row r="5" spans="1:23" x14ac:dyDescent="0.3">
      <c r="A5" s="2">
        <v>4</v>
      </c>
      <c r="B5" s="2">
        <v>210</v>
      </c>
      <c r="C5" s="1">
        <f t="shared" si="0"/>
        <v>2.3222192947339191</v>
      </c>
      <c r="D5" s="1">
        <v>0</v>
      </c>
      <c r="E5" s="3">
        <v>15</v>
      </c>
      <c r="F5" s="1">
        <v>103</v>
      </c>
      <c r="G5" s="1">
        <v>8</v>
      </c>
      <c r="H5" s="1">
        <f>ROUNDUP(10^(MultiLogRegr2!$B$17 + D5*MultiLogRegr2!$B$18 + E5*MultiLogRegr2!$B$19 + MultiLogRegr2!$B$20*F5),0)</f>
        <v>187</v>
      </c>
      <c r="I5" s="1">
        <f>ROUNDUP(10^(MultLogRegr1!$B$17+MultLogRegr1!$B$19*'task 2.5'!E5+MultLogRegr1!$B$18*'task 2.5'!D5),0)</f>
        <v>211</v>
      </c>
      <c r="K5">
        <v>4</v>
      </c>
      <c r="L5">
        <f t="shared" ca="1" si="1"/>
        <v>661.89776702993652</v>
      </c>
      <c r="M5">
        <f ca="1">IF(L5&lt;=0,0,10^(MultiLogRegr1stWeek!$B$17+LOG10(L5)*MultiLogRegr1stWeek!$B$18+MultiLogRegr1stWeek!$B$19*14+MultiLogRegr1stWeek!$B$20*0))</f>
        <v>301.95277285780594</v>
      </c>
      <c r="U5">
        <v>3</v>
      </c>
      <c r="V5">
        <v>343</v>
      </c>
      <c r="W5">
        <v>164</v>
      </c>
    </row>
    <row r="6" spans="1:23" x14ac:dyDescent="0.3">
      <c r="A6" s="2">
        <v>5</v>
      </c>
      <c r="B6" s="2">
        <v>291</v>
      </c>
      <c r="C6" s="1">
        <f t="shared" si="0"/>
        <v>2.4638929889859074</v>
      </c>
      <c r="D6" s="1">
        <v>0</v>
      </c>
      <c r="E6" s="3">
        <v>13</v>
      </c>
      <c r="F6" s="1">
        <v>208</v>
      </c>
      <c r="G6" s="1">
        <v>6</v>
      </c>
      <c r="H6" s="1">
        <f>ROUNDUP(10^(MultiLogRegr2!$B$17 + D6*MultiLogRegr2!$B$18 + E6*MultiLogRegr2!$B$19 + MultiLogRegr2!$B$20*F6),0)</f>
        <v>295</v>
      </c>
      <c r="I6" s="1">
        <f>ROUNDUP(10^(MultLogRegr1!$B$17+MultLogRegr1!$B$19*'task 2.5'!E6+MultLogRegr1!$B$18*'task 2.5'!D6),0)</f>
        <v>185</v>
      </c>
      <c r="K6">
        <v>5</v>
      </c>
      <c r="L6">
        <f t="shared" ca="1" si="1"/>
        <v>508.52925443875199</v>
      </c>
      <c r="M6">
        <f ca="1">IF(L6&lt;=0,0,10^(MultiLogRegr1stWeek!$B$17+LOG10(L6)*MultiLogRegr1stWeek!$B$18+MultiLogRegr1stWeek!$B$19*14+MultiLogRegr1stWeek!$B$20*0))</f>
        <v>230.69953370441121</v>
      </c>
      <c r="U6">
        <v>4</v>
      </c>
      <c r="V6">
        <v>344</v>
      </c>
      <c r="W6">
        <v>164</v>
      </c>
    </row>
    <row r="7" spans="1:23" x14ac:dyDescent="0.3">
      <c r="A7" s="2">
        <v>6</v>
      </c>
      <c r="B7" s="2">
        <v>170</v>
      </c>
      <c r="C7" s="1">
        <f t="shared" si="0"/>
        <v>2.2304489213782741</v>
      </c>
      <c r="D7" s="1">
        <v>0</v>
      </c>
      <c r="E7" s="3">
        <v>14</v>
      </c>
      <c r="F7" s="1">
        <v>103</v>
      </c>
      <c r="G7" s="1">
        <v>7</v>
      </c>
      <c r="H7" s="1">
        <f>ROUNDUP(10^(MultiLogRegr2!$B$17 + D7*MultiLogRegr2!$B$18 + E7*MultiLogRegr2!$B$19 + MultiLogRegr2!$B$20*F7),0)</f>
        <v>177</v>
      </c>
      <c r="I7" s="1">
        <f>ROUNDUP(10^(MultLogRegr1!$B$17+MultLogRegr1!$B$19*'task 2.5'!E7+MultLogRegr1!$B$18*'task 2.5'!D7),0)</f>
        <v>198</v>
      </c>
      <c r="K7">
        <v>6</v>
      </c>
      <c r="L7">
        <f t="shared" ca="1" si="1"/>
        <v>141.16655735760477</v>
      </c>
      <c r="M7">
        <f ca="1">IF(L7&lt;=0,0,10^(MultiLogRegr1stWeek!$B$17+LOG10(L7)*MultiLogRegr1stWeek!$B$18+MultiLogRegr1stWeek!$B$19*14+MultiLogRegr1stWeek!$B$20*0))</f>
        <v>62.331760048562252</v>
      </c>
      <c r="U7">
        <v>5</v>
      </c>
      <c r="V7">
        <v>330</v>
      </c>
      <c r="W7">
        <v>158</v>
      </c>
    </row>
    <row r="8" spans="1:23" x14ac:dyDescent="0.3">
      <c r="A8" s="2">
        <v>7</v>
      </c>
      <c r="B8" s="2">
        <v>252</v>
      </c>
      <c r="C8" s="1">
        <f t="shared" si="0"/>
        <v>2.4014005407815442</v>
      </c>
      <c r="D8" s="1">
        <v>0</v>
      </c>
      <c r="E8" s="3">
        <v>15</v>
      </c>
      <c r="F8" s="1">
        <v>163</v>
      </c>
      <c r="G8" s="1">
        <v>8</v>
      </c>
      <c r="H8" s="1">
        <f>ROUNDUP(10^(MultiLogRegr2!$B$17 + D8*MultiLogRegr2!$B$18 + E8*MultiLogRegr2!$B$19 + MultiLogRegr2!$B$20*F8),0)</f>
        <v>258</v>
      </c>
      <c r="I8" s="1">
        <f>ROUNDUP(10^(MultLogRegr1!$B$17+MultLogRegr1!$B$19*'task 2.5'!E8+MultLogRegr1!$B$18*'task 2.5'!D8),0)</f>
        <v>211</v>
      </c>
      <c r="K8">
        <v>7</v>
      </c>
      <c r="L8">
        <f t="shared" ca="1" si="1"/>
        <v>-165.97439487049962</v>
      </c>
      <c r="M8">
        <f ca="1">IF(L8&lt;=0,0,10^(MultiLogRegr1stWeek!$B$17+LOG10(L8)*MultiLogRegr1stWeek!$B$18+MultiLogRegr1stWeek!$B$19*14+MultiLogRegr1stWeek!$B$20*0))</f>
        <v>0</v>
      </c>
      <c r="U8">
        <v>6</v>
      </c>
      <c r="V8">
        <v>339</v>
      </c>
      <c r="W8">
        <v>163</v>
      </c>
    </row>
    <row r="9" spans="1:23" x14ac:dyDescent="0.3">
      <c r="A9" s="2">
        <v>8</v>
      </c>
      <c r="B9" s="2">
        <v>520</v>
      </c>
      <c r="C9" s="1">
        <f t="shared" si="0"/>
        <v>2.716003343634799</v>
      </c>
      <c r="D9" s="1">
        <v>0</v>
      </c>
      <c r="E9" s="3">
        <v>21</v>
      </c>
      <c r="F9" s="1">
        <v>272</v>
      </c>
      <c r="G9" s="1">
        <v>14</v>
      </c>
      <c r="H9" s="1">
        <f>ROUNDUP(10^(MultiLogRegr2!$B$17 + D9*MultiLogRegr2!$B$18 + E9*MultiLogRegr2!$B$19 + MultiLogRegr2!$B$20*F9),0)</f>
        <v>642</v>
      </c>
      <c r="I9" s="1">
        <f>ROUNDUP(10^(MultLogRegr1!$B$17+MultLogRegr1!$B$19*'task 2.5'!E9+MultLogRegr1!$B$18*'task 2.5'!D9),0)</f>
        <v>316</v>
      </c>
      <c r="K9">
        <v>8</v>
      </c>
      <c r="L9">
        <f t="shared" ca="1" si="1"/>
        <v>435.63328464086521</v>
      </c>
      <c r="M9">
        <f ca="1">IF(L9&lt;=0,0,10^(MultiLogRegr1stWeek!$B$17+LOG10(L9)*MultiLogRegr1stWeek!$B$18+MultiLogRegr1stWeek!$B$19*14+MultiLogRegr1stWeek!$B$20*0))</f>
        <v>196.98488200820799</v>
      </c>
      <c r="U9">
        <v>7</v>
      </c>
      <c r="V9">
        <v>336</v>
      </c>
      <c r="W9">
        <v>162</v>
      </c>
    </row>
    <row r="10" spans="1:23" x14ac:dyDescent="0.3">
      <c r="A10" s="2">
        <v>9</v>
      </c>
      <c r="B10" s="2">
        <v>164</v>
      </c>
      <c r="C10" s="1">
        <f t="shared" si="0"/>
        <v>2.214843848047698</v>
      </c>
      <c r="D10" s="1">
        <v>0</v>
      </c>
      <c r="E10" s="3">
        <v>14</v>
      </c>
      <c r="F10" s="1">
        <v>83</v>
      </c>
      <c r="G10" s="1">
        <v>7</v>
      </c>
      <c r="H10" s="1">
        <f>ROUNDUP(10^(MultiLogRegr2!$B$17 + D10*MultiLogRegr2!$B$18 + E10*MultiLogRegr2!$B$19 + MultiLogRegr2!$B$20*F10),0)</f>
        <v>159</v>
      </c>
      <c r="I10" s="1">
        <f>ROUNDUP(10^(MultLogRegr1!$B$17+MultLogRegr1!$B$19*'task 2.5'!E10+MultLogRegr1!$B$18*'task 2.5'!D10),0)</f>
        <v>198</v>
      </c>
      <c r="K10">
        <v>9</v>
      </c>
      <c r="L10">
        <f t="shared" ca="1" si="1"/>
        <v>192.79486646605076</v>
      </c>
      <c r="M10">
        <f ca="1">IF(L10&lt;=0,0,10^(MultiLogRegr1stWeek!$B$17+LOG10(L10)*MultiLogRegr1stWeek!$B$18+MultiLogRegr1stWeek!$B$19*14+MultiLogRegr1stWeek!$B$20*0))</f>
        <v>85.690260462649448</v>
      </c>
      <c r="U10">
        <v>8</v>
      </c>
      <c r="V10">
        <v>338</v>
      </c>
      <c r="W10">
        <v>162</v>
      </c>
    </row>
    <row r="11" spans="1:23" x14ac:dyDescent="0.3">
      <c r="A11" s="2">
        <v>10</v>
      </c>
      <c r="B11" s="2">
        <v>135</v>
      </c>
      <c r="C11" s="1">
        <f t="shared" si="0"/>
        <v>2.1303337684950061</v>
      </c>
      <c r="D11" s="1">
        <v>0</v>
      </c>
      <c r="E11" s="3">
        <v>14</v>
      </c>
      <c r="F11" s="1">
        <v>91</v>
      </c>
      <c r="G11" s="1">
        <v>7</v>
      </c>
      <c r="H11" s="1">
        <f>ROUNDUP(10^(MultiLogRegr2!$B$17 + D11*MultiLogRegr2!$B$18 + E11*MultiLogRegr2!$B$19 + MultiLogRegr2!$B$20*F11),0)</f>
        <v>166</v>
      </c>
      <c r="I11" s="1">
        <f>ROUNDUP(10^(MultLogRegr1!$B$17+MultLogRegr1!$B$19*'task 2.5'!E11+MultLogRegr1!$B$18*'task 2.5'!D11),0)</f>
        <v>198</v>
      </c>
      <c r="K11">
        <v>10</v>
      </c>
      <c r="L11">
        <f t="shared" ca="1" si="1"/>
        <v>942.03214145203219</v>
      </c>
      <c r="M11">
        <f ca="1">IF(L11&lt;=0,0,10^(MultiLogRegr1stWeek!$B$17+LOG10(L11)*MultiLogRegr1stWeek!$B$18+MultiLogRegr1stWeek!$B$19*14+MultiLogRegr1stWeek!$B$20*0))</f>
        <v>432.96269870438215</v>
      </c>
      <c r="U11">
        <v>9</v>
      </c>
      <c r="V11">
        <v>329</v>
      </c>
      <c r="W11">
        <v>158</v>
      </c>
    </row>
    <row r="12" spans="1:23" x14ac:dyDescent="0.3">
      <c r="A12" s="2">
        <v>11</v>
      </c>
      <c r="B12" s="2">
        <v>153</v>
      </c>
      <c r="C12" s="1">
        <f t="shared" si="0"/>
        <v>2.1846914308175989</v>
      </c>
      <c r="D12" s="1">
        <v>0</v>
      </c>
      <c r="E12" s="3">
        <v>14</v>
      </c>
      <c r="F12" s="1">
        <v>79</v>
      </c>
      <c r="G12" s="1">
        <v>7</v>
      </c>
      <c r="H12" s="1">
        <f>ROUNDUP(10^(MultiLogRegr2!$B$17 + D12*MultiLogRegr2!$B$18 + E12*MultiLogRegr2!$B$19 + MultiLogRegr2!$B$20*F12),0)</f>
        <v>155</v>
      </c>
      <c r="I12" s="1">
        <f>ROUNDUP(10^(MultLogRegr1!$B$17+MultLogRegr1!$B$19*'task 2.5'!E12+MultLogRegr1!$B$18*'task 2.5'!D12),0)</f>
        <v>198</v>
      </c>
      <c r="K12">
        <v>11</v>
      </c>
      <c r="L12">
        <f t="shared" ca="1" si="1"/>
        <v>273.07584694962043</v>
      </c>
      <c r="M12">
        <f ca="1">IF(L12&lt;=0,0,10^(MultiLogRegr1stWeek!$B$17+LOG10(L12)*MultiLogRegr1stWeek!$B$18+MultiLogRegr1stWeek!$B$19*14+MultiLogRegr1stWeek!$B$20*0))</f>
        <v>122.26773618032432</v>
      </c>
      <c r="U12">
        <v>10</v>
      </c>
      <c r="V12">
        <v>343</v>
      </c>
      <c r="W12">
        <v>166</v>
      </c>
    </row>
    <row r="13" spans="1:23" x14ac:dyDescent="0.3">
      <c r="A13" s="2">
        <v>12</v>
      </c>
      <c r="B13" s="2">
        <v>322</v>
      </c>
      <c r="C13" s="1">
        <f t="shared" si="0"/>
        <v>2.5078558716958308</v>
      </c>
      <c r="D13" s="1">
        <v>0</v>
      </c>
      <c r="E13" s="3">
        <v>16</v>
      </c>
      <c r="F13" s="1">
        <v>116</v>
      </c>
      <c r="G13" s="1">
        <v>9</v>
      </c>
      <c r="H13" s="1">
        <f>ROUNDUP(10^(MultiLogRegr2!$B$17 + D13*MultiLogRegr2!$B$18 + E13*MultiLogRegr2!$B$19 + MultiLogRegr2!$B$20*F13),0)</f>
        <v>211</v>
      </c>
      <c r="I13" s="1">
        <f>ROUNDUP(10^(MultLogRegr1!$B$17+MultLogRegr1!$B$19*'task 2.5'!E13+MultLogRegr1!$B$18*'task 2.5'!D13),0)</f>
        <v>226</v>
      </c>
      <c r="K13">
        <v>12</v>
      </c>
      <c r="L13">
        <f t="shared" ca="1" si="1"/>
        <v>731.60287053991624</v>
      </c>
      <c r="M13">
        <f ca="1">IF(L13&lt;=0,0,10^(MultiLogRegr1stWeek!$B$17+LOG10(L13)*MultiLogRegr1stWeek!$B$18+MultiLogRegr1stWeek!$B$19*14+MultiLogRegr1stWeek!$B$20*0))</f>
        <v>334.45812820689662</v>
      </c>
      <c r="U13">
        <v>11</v>
      </c>
      <c r="V13">
        <v>338</v>
      </c>
      <c r="W13">
        <v>161</v>
      </c>
    </row>
    <row r="14" spans="1:23" x14ac:dyDescent="0.3">
      <c r="A14" s="2">
        <v>13</v>
      </c>
      <c r="B14" s="2">
        <v>298</v>
      </c>
      <c r="C14" s="1">
        <f t="shared" si="0"/>
        <v>2.4742162640762553</v>
      </c>
      <c r="D14" s="1">
        <v>0</v>
      </c>
      <c r="E14" s="3">
        <v>26</v>
      </c>
      <c r="F14" s="1">
        <v>120</v>
      </c>
      <c r="G14" s="1">
        <v>19</v>
      </c>
      <c r="H14" s="1">
        <f>ROUNDUP(10^(MultiLogRegr2!$B$17 + D14*MultiLogRegr2!$B$18 + E14*MultiLogRegr2!$B$19 + MultiLogRegr2!$B$20*F14),0)</f>
        <v>372</v>
      </c>
      <c r="I14" s="1">
        <f>ROUNDUP(10^(MultLogRegr1!$B$17+MultLogRegr1!$B$19*'task 2.5'!E14+MultLogRegr1!$B$18*'task 2.5'!D14),0)</f>
        <v>442</v>
      </c>
      <c r="K14">
        <v>13</v>
      </c>
      <c r="L14">
        <f t="shared" ca="1" si="1"/>
        <v>1220.7639789399786</v>
      </c>
      <c r="M14">
        <f ca="1">IF(L14&lt;=0,0,10^(MultiLogRegr1stWeek!$B$17+LOG10(L14)*MultiLogRegr1stWeek!$B$18+MultiLogRegr1stWeek!$B$19*14+MultiLogRegr1stWeek!$B$20*0))</f>
        <v>564.14856394410037</v>
      </c>
      <c r="U14">
        <v>12</v>
      </c>
      <c r="V14">
        <v>319</v>
      </c>
      <c r="W14">
        <v>155</v>
      </c>
    </row>
    <row r="15" spans="1:23" x14ac:dyDescent="0.3">
      <c r="A15" s="2">
        <v>14</v>
      </c>
      <c r="B15" s="2">
        <v>133</v>
      </c>
      <c r="C15" s="1">
        <f t="shared" si="0"/>
        <v>2.1238516409670858</v>
      </c>
      <c r="D15" s="1">
        <v>0</v>
      </c>
      <c r="E15" s="3">
        <v>16</v>
      </c>
      <c r="F15" s="1">
        <v>49</v>
      </c>
      <c r="G15" s="1">
        <v>9</v>
      </c>
      <c r="H15" s="1">
        <f>ROUNDUP(10^(MultiLogRegr2!$B$17 + D15*MultiLogRegr2!$B$18 + E15*MultiLogRegr2!$B$19 + MultiLogRegr2!$B$20*F15),0)</f>
        <v>147</v>
      </c>
      <c r="I15" s="1">
        <f>ROUNDUP(10^(MultLogRegr1!$B$17+MultLogRegr1!$B$19*'task 2.5'!E15+MultLogRegr1!$B$18*'task 2.5'!D15),0)</f>
        <v>226</v>
      </c>
      <c r="K15">
        <v>14</v>
      </c>
      <c r="L15">
        <f t="shared" ca="1" si="1"/>
        <v>243.66934066355427</v>
      </c>
      <c r="M15">
        <f ca="1">IF(L15&lt;=0,0,10^(MultiLogRegr1stWeek!$B$17+LOG10(L15)*MultiLogRegr1stWeek!$B$18+MultiLogRegr1stWeek!$B$19*14+MultiLogRegr1stWeek!$B$20*0))</f>
        <v>108.83900580990431</v>
      </c>
      <c r="U15">
        <v>13</v>
      </c>
      <c r="V15">
        <v>353</v>
      </c>
      <c r="W15">
        <v>167</v>
      </c>
    </row>
    <row r="16" spans="1:23" x14ac:dyDescent="0.3">
      <c r="A16" s="2">
        <v>15</v>
      </c>
      <c r="B16" s="2">
        <v>192</v>
      </c>
      <c r="C16" s="1">
        <f t="shared" si="0"/>
        <v>2.2833012287035497</v>
      </c>
      <c r="D16" s="1">
        <v>0</v>
      </c>
      <c r="E16" s="3">
        <v>18</v>
      </c>
      <c r="F16" s="1">
        <v>114</v>
      </c>
      <c r="G16" s="1">
        <v>11</v>
      </c>
      <c r="H16" s="1">
        <f>ROUNDUP(10^(MultiLogRegr2!$B$17 + D16*MultiLogRegr2!$B$18 + E16*MultiLogRegr2!$B$19 + MultiLogRegr2!$B$20*F16),0)</f>
        <v>233</v>
      </c>
      <c r="I16" s="1">
        <f>ROUNDUP(10^(MultLogRegr1!$B$17+MultLogRegr1!$B$19*'task 2.5'!E16+MultLogRegr1!$B$18*'task 2.5'!D16),0)</f>
        <v>258</v>
      </c>
      <c r="K16">
        <v>15</v>
      </c>
      <c r="L16">
        <f t="shared" ca="1" si="1"/>
        <v>477.48971348149928</v>
      </c>
      <c r="M16">
        <f ca="1">IF(L16&lt;=0,0,10^(MultiLogRegr1stWeek!$B$17+LOG10(L16)*MultiLogRegr1stWeek!$B$18+MultiLogRegr1stWeek!$B$19*14+MultiLogRegr1stWeek!$B$20*0))</f>
        <v>216.33023055556555</v>
      </c>
      <c r="U16">
        <v>14</v>
      </c>
      <c r="V16">
        <v>351</v>
      </c>
      <c r="W16">
        <v>167</v>
      </c>
    </row>
    <row r="17" spans="1:23" x14ac:dyDescent="0.3">
      <c r="A17" s="2">
        <v>16</v>
      </c>
      <c r="B17" s="2">
        <v>198</v>
      </c>
      <c r="C17" s="1">
        <f t="shared" si="0"/>
        <v>2.2966651902615309</v>
      </c>
      <c r="D17" s="1">
        <v>0</v>
      </c>
      <c r="E17" s="3">
        <v>14</v>
      </c>
      <c r="F17" s="1">
        <v>80</v>
      </c>
      <c r="G17" s="1">
        <v>7</v>
      </c>
      <c r="H17" s="1">
        <f>ROUNDUP(10^(MultiLogRegr2!$B$17 + D17*MultiLogRegr2!$B$18 + E17*MultiLogRegr2!$B$19 + MultiLogRegr2!$B$20*F17),0)</f>
        <v>156</v>
      </c>
      <c r="I17" s="1">
        <f>ROUNDUP(10^(MultLogRegr1!$B$17+MultLogRegr1!$B$19*'task 2.5'!E17+MultLogRegr1!$B$18*'task 2.5'!D17),0)</f>
        <v>198</v>
      </c>
      <c r="K17">
        <v>16</v>
      </c>
      <c r="L17">
        <f t="shared" ca="1" si="1"/>
        <v>578.99585262905043</v>
      </c>
      <c r="M17">
        <f ca="1">IF(L17&lt;=0,0,10^(MultiLogRegr1stWeek!$B$17+LOG10(L17)*MultiLogRegr1stWeek!$B$18+MultiLogRegr1stWeek!$B$19*14+MultiLogRegr1stWeek!$B$20*0))</f>
        <v>263.38822371935396</v>
      </c>
      <c r="U17">
        <v>15</v>
      </c>
      <c r="V17">
        <v>316</v>
      </c>
      <c r="W17">
        <v>154</v>
      </c>
    </row>
    <row r="18" spans="1:23" x14ac:dyDescent="0.3">
      <c r="A18" s="2">
        <v>17</v>
      </c>
      <c r="B18" s="2">
        <v>991</v>
      </c>
      <c r="C18" s="1">
        <f t="shared" si="0"/>
        <v>2.9960736544852753</v>
      </c>
      <c r="D18" s="1">
        <v>0</v>
      </c>
      <c r="E18" s="3">
        <v>36</v>
      </c>
      <c r="F18" s="1">
        <v>136</v>
      </c>
      <c r="G18" s="1">
        <v>29</v>
      </c>
      <c r="H18" s="1">
        <f>ROUNDUP(10^(MultiLogRegr2!$B$17 + D18*MultiLogRegr2!$B$18 + E18*MultiLogRegr2!$B$19 + MultiLogRegr2!$B$20*F18),0)</f>
        <v>697</v>
      </c>
      <c r="I18" s="1">
        <f>ROUNDUP(10^(MultLogRegr1!$B$17+MultLogRegr1!$B$19*'task 2.5'!E18+MultLogRegr1!$B$18*'task 2.5'!D18),0)</f>
        <v>863</v>
      </c>
      <c r="K18">
        <v>17</v>
      </c>
      <c r="L18">
        <f t="shared" ca="1" si="1"/>
        <v>-101.36651038547745</v>
      </c>
      <c r="M18">
        <f ca="1">IF(L18&lt;=0,0,10^(MultiLogRegr1stWeek!$B$17+LOG10(L18)*MultiLogRegr1stWeek!$B$18+MultiLogRegr1stWeek!$B$19*14+MultiLogRegr1stWeek!$B$20*0))</f>
        <v>0</v>
      </c>
      <c r="U18">
        <v>16</v>
      </c>
      <c r="V18">
        <v>344</v>
      </c>
      <c r="W18">
        <v>165</v>
      </c>
    </row>
    <row r="19" spans="1:23" x14ac:dyDescent="0.3">
      <c r="A19" s="2">
        <v>18</v>
      </c>
      <c r="B19" s="2">
        <v>1244</v>
      </c>
      <c r="C19" s="1">
        <f t="shared" si="0"/>
        <v>3.0948203803548</v>
      </c>
      <c r="D19" s="1">
        <v>1</v>
      </c>
      <c r="E19" s="3">
        <v>35</v>
      </c>
      <c r="F19" s="1">
        <v>168</v>
      </c>
      <c r="G19" s="1">
        <v>28</v>
      </c>
      <c r="H19" s="1">
        <f>ROUNDUP(10^(MultiLogRegr2!$B$17 + D19*MultiLogRegr2!$B$18 + E19*MultiLogRegr2!$B$19 + MultiLogRegr2!$B$20*F19),0)</f>
        <v>1244</v>
      </c>
      <c r="I19" s="1">
        <f>ROUNDUP(10^(MultLogRegr1!$B$17+MultLogRegr1!$B$19*'task 2.5'!E19+MultLogRegr1!$B$18*'task 2.5'!D19),0)</f>
        <v>1244</v>
      </c>
      <c r="K19">
        <v>18</v>
      </c>
      <c r="L19">
        <f t="shared" ca="1" si="1"/>
        <v>460.00149381866572</v>
      </c>
      <c r="M19">
        <f ca="1">IF(L19&lt;=0,0,10^(MultiLogRegr1stWeek!$B$17+LOG10(L19)*MultiLogRegr1stWeek!$B$18+MultiLogRegr1stWeek!$B$19*14+MultiLogRegr1stWeek!$B$20*0))</f>
        <v>208.24291958833831</v>
      </c>
      <c r="U19">
        <v>17</v>
      </c>
      <c r="V19">
        <v>338</v>
      </c>
      <c r="W19">
        <v>162</v>
      </c>
    </row>
    <row r="20" spans="1:23" x14ac:dyDescent="0.3">
      <c r="A20" s="2">
        <v>19</v>
      </c>
      <c r="B20" s="2">
        <v>855</v>
      </c>
      <c r="C20" s="1">
        <f t="shared" si="0"/>
        <v>2.9319661147281728</v>
      </c>
      <c r="D20" s="1">
        <v>0</v>
      </c>
      <c r="E20" s="3">
        <v>28</v>
      </c>
      <c r="F20" s="1">
        <v>232</v>
      </c>
      <c r="G20" s="1">
        <v>21</v>
      </c>
      <c r="H20" s="1">
        <f>ROUNDUP(10^(MultiLogRegr2!$B$17 + D20*MultiLogRegr2!$B$18 + E20*MultiLogRegr2!$B$19 + MultiLogRegr2!$B$20*F20),0)</f>
        <v>757</v>
      </c>
      <c r="I20" s="1">
        <f>ROUNDUP(10^(MultLogRegr1!$B$17+MultLogRegr1!$B$19*'task 2.5'!E20+MultLogRegr1!$B$18*'task 2.5'!D20),0)</f>
        <v>505</v>
      </c>
      <c r="K20">
        <v>19</v>
      </c>
      <c r="L20">
        <f t="shared" ca="1" si="1"/>
        <v>552.06473119703037</v>
      </c>
      <c r="M20">
        <f ca="1">IF(L20&lt;=0,0,10^(MultiLogRegr1stWeek!$B$17+LOG10(L20)*MultiLogRegr1stWeek!$B$18+MultiLogRegr1stWeek!$B$19*14+MultiLogRegr1stWeek!$B$20*0))</f>
        <v>250.8846529392753</v>
      </c>
      <c r="U20">
        <v>18</v>
      </c>
      <c r="V20">
        <v>354</v>
      </c>
      <c r="W20">
        <v>168</v>
      </c>
    </row>
    <row r="21" spans="1:23" x14ac:dyDescent="0.3">
      <c r="A21" s="2">
        <v>20</v>
      </c>
      <c r="B21" s="2">
        <v>291</v>
      </c>
      <c r="C21" s="1">
        <f t="shared" si="0"/>
        <v>2.4638929889859074</v>
      </c>
      <c r="D21" s="1">
        <v>0</v>
      </c>
      <c r="E21" s="3">
        <v>17</v>
      </c>
      <c r="F21" s="1">
        <v>206</v>
      </c>
      <c r="G21" s="1">
        <v>10</v>
      </c>
      <c r="H21" s="1">
        <f>ROUNDUP(10^(MultiLogRegr2!$B$17 + D21*MultiLogRegr2!$B$18 + E21*MultiLogRegr2!$B$19 + MultiLogRegr2!$B$20*F21),0)</f>
        <v>362</v>
      </c>
      <c r="I21" s="1">
        <f>ROUNDUP(10^(MultLogRegr1!$B$17+MultLogRegr1!$B$19*'task 2.5'!E21+MultLogRegr1!$B$18*'task 2.5'!D21),0)</f>
        <v>242</v>
      </c>
      <c r="K21">
        <v>20</v>
      </c>
      <c r="L21">
        <f t="shared" ca="1" si="1"/>
        <v>-44.699208309845346</v>
      </c>
      <c r="M21">
        <f ca="1">IF(L21&lt;=0,0,10^(MultiLogRegr1stWeek!$B$17+LOG10(L21)*MultiLogRegr1stWeek!$B$18+MultiLogRegr1stWeek!$B$19*14+MultiLogRegr1stWeek!$B$20*0))</f>
        <v>0</v>
      </c>
      <c r="U21">
        <v>19</v>
      </c>
      <c r="V21">
        <v>338</v>
      </c>
      <c r="W21">
        <v>161</v>
      </c>
    </row>
    <row r="22" spans="1:23" x14ac:dyDescent="0.3">
      <c r="A22" s="2">
        <v>21</v>
      </c>
      <c r="B22" s="2">
        <v>143</v>
      </c>
      <c r="C22" s="1">
        <f t="shared" si="0"/>
        <v>2.1553360374650619</v>
      </c>
      <c r="D22" s="1">
        <v>0</v>
      </c>
      <c r="E22" s="3">
        <v>11</v>
      </c>
      <c r="F22" s="1">
        <v>104</v>
      </c>
      <c r="G22" s="1">
        <v>4</v>
      </c>
      <c r="H22" s="1">
        <f>ROUNDUP(10^(MultiLogRegr2!$B$17 + D22*MultiLogRegr2!$B$18 + E22*MultiLogRegr2!$B$19 + MultiLogRegr2!$B$20*F22),0)</f>
        <v>151</v>
      </c>
      <c r="I22" s="1">
        <f>ROUNDUP(10^(MultLogRegr1!$B$17+MultLogRegr1!$B$19*'task 2.5'!E22+MultLogRegr1!$B$18*'task 2.5'!D22),0)</f>
        <v>162</v>
      </c>
      <c r="K22">
        <v>21</v>
      </c>
      <c r="L22">
        <f t="shared" ca="1" si="1"/>
        <v>427.42894511567295</v>
      </c>
      <c r="M22">
        <f ca="1">IF(L22&lt;=0,0,10^(MultiLogRegr1stWeek!$B$17+LOG10(L22)*MultiLogRegr1stWeek!$B$18+MultiLogRegr1stWeek!$B$19*14+MultiLogRegr1stWeek!$B$20*0))</f>
        <v>193.19745794132788</v>
      </c>
      <c r="U22">
        <v>20</v>
      </c>
      <c r="V22">
        <v>339</v>
      </c>
      <c r="W22">
        <v>163</v>
      </c>
    </row>
    <row r="23" spans="1:23" x14ac:dyDescent="0.3">
      <c r="A23" s="2">
        <v>22</v>
      </c>
      <c r="B23" s="2">
        <v>253</v>
      </c>
      <c r="C23" s="1">
        <f t="shared" si="0"/>
        <v>2.403120521175818</v>
      </c>
      <c r="D23" s="1">
        <v>0</v>
      </c>
      <c r="E23" s="3">
        <v>14</v>
      </c>
      <c r="F23" s="1">
        <v>117</v>
      </c>
      <c r="G23" s="1">
        <v>7</v>
      </c>
      <c r="H23" s="1">
        <f>ROUNDUP(10^(MultiLogRegr2!$B$17 + D23*MultiLogRegr2!$B$18 + E23*MultiLogRegr2!$B$19 + MultiLogRegr2!$B$20*F23),0)</f>
        <v>191</v>
      </c>
      <c r="I23" s="1">
        <f>ROUNDUP(10^(MultLogRegr1!$B$17+MultLogRegr1!$B$19*'task 2.5'!E23+MultLogRegr1!$B$18*'task 2.5'!D23),0)</f>
        <v>198</v>
      </c>
      <c r="K23">
        <v>22</v>
      </c>
      <c r="L23">
        <f t="shared" ca="1" si="1"/>
        <v>636.32077416965603</v>
      </c>
      <c r="M23">
        <f ca="1">IF(L23&lt;=0,0,10^(MultiLogRegr1stWeek!$B$17+LOG10(L23)*MultiLogRegr1stWeek!$B$18+MultiLogRegr1stWeek!$B$19*14+MultiLogRegr1stWeek!$B$20*0))</f>
        <v>290.0432749086151</v>
      </c>
      <c r="U23">
        <v>21</v>
      </c>
      <c r="V23">
        <v>331</v>
      </c>
      <c r="W23">
        <v>160</v>
      </c>
    </row>
    <row r="24" spans="1:23" x14ac:dyDescent="0.3">
      <c r="A24" s="2">
        <v>23</v>
      </c>
      <c r="B24" s="2">
        <v>385</v>
      </c>
      <c r="C24" s="1">
        <f t="shared" si="0"/>
        <v>2.5854607295085006</v>
      </c>
      <c r="D24" s="1">
        <v>0</v>
      </c>
      <c r="E24" s="3">
        <v>13</v>
      </c>
      <c r="F24" s="1">
        <v>171</v>
      </c>
      <c r="G24" s="1">
        <v>6</v>
      </c>
      <c r="H24" s="1">
        <f>ROUNDUP(10^(MultiLogRegr2!$B$17 + D24*MultiLogRegr2!$B$18 + E24*MultiLogRegr2!$B$19 + MultiLogRegr2!$B$20*F24),0)</f>
        <v>241</v>
      </c>
      <c r="I24" s="1">
        <f>ROUNDUP(10^(MultLogRegr1!$B$17+MultLogRegr1!$B$19*'task 2.5'!E24+MultLogRegr1!$B$18*'task 2.5'!D24),0)</f>
        <v>185</v>
      </c>
      <c r="K24">
        <v>23</v>
      </c>
      <c r="L24">
        <f t="shared" ca="1" si="1"/>
        <v>276.0348584426568</v>
      </c>
      <c r="M24">
        <f ca="1">IF(L24&lt;=0,0,10^(MultiLogRegr1stWeek!$B$17+LOG10(L24)*MultiLogRegr1stWeek!$B$18+MultiLogRegr1stWeek!$B$19*14+MultiLogRegr1stWeek!$B$20*0))</f>
        <v>123.62074339872596</v>
      </c>
      <c r="U24">
        <v>22</v>
      </c>
      <c r="V24">
        <v>332</v>
      </c>
      <c r="W24">
        <v>159</v>
      </c>
    </row>
    <row r="25" spans="1:23" x14ac:dyDescent="0.3">
      <c r="A25" s="4">
        <v>24</v>
      </c>
      <c r="B25" s="4">
        <f ca="1">ROUNDUP(AVERAGE(V3:V1002),0)</f>
        <v>339</v>
      </c>
      <c r="C25" s="4">
        <f t="shared" ca="1" si="0"/>
        <v>2.5301996982030821</v>
      </c>
      <c r="D25" s="4">
        <v>0</v>
      </c>
      <c r="E25" s="4">
        <v>21</v>
      </c>
      <c r="F25" s="4">
        <f ca="1">ROUNDUP(AVERAGE(W3:W1002),0)</f>
        <v>162</v>
      </c>
      <c r="G25" s="4">
        <v>14</v>
      </c>
      <c r="H25" s="4">
        <f ca="1">ROUNDUP(10^(MultiLogRegr2!$B$17 + D25*MultiLogRegr2!$B$18 + E25*MultiLogRegr2!$B$19 + MultiLogRegr2!$B$20*F25),0)</f>
        <v>355</v>
      </c>
      <c r="I25" s="4">
        <f>ROUNDUP(10^(MultLogRegr1!$B$17+MultLogRegr1!$B$19*'task 2.5'!E25+MultLogRegr1!$B$18*'task 2.5'!D25),0)</f>
        <v>316</v>
      </c>
      <c r="K25">
        <v>24</v>
      </c>
      <c r="L25">
        <f t="shared" ca="1" si="1"/>
        <v>74.733106521273214</v>
      </c>
      <c r="M25">
        <f ca="1">IF(L25&lt;=0,0,10^(MultiLogRegr1stWeek!$B$17+LOG10(L25)*MultiLogRegr1stWeek!$B$18+MultiLogRegr1stWeek!$B$19*14+MultiLogRegr1stWeek!$B$20*0))</f>
        <v>32.558004463847993</v>
      </c>
      <c r="U25">
        <v>23</v>
      </c>
      <c r="V25">
        <v>339</v>
      </c>
      <c r="W25">
        <v>162</v>
      </c>
    </row>
    <row r="26" spans="1:23" x14ac:dyDescent="0.3">
      <c r="H26" s="18" t="s">
        <v>18</v>
      </c>
      <c r="I26" s="19">
        <f ca="1">MAX(H25-I25,0)</f>
        <v>39</v>
      </c>
      <c r="K26">
        <v>25</v>
      </c>
      <c r="L26">
        <f t="shared" ca="1" si="1"/>
        <v>648.05336228735814</v>
      </c>
      <c r="M26">
        <f ca="1">IF(L26&lt;=0,0,10^(MultiLogRegr1stWeek!$B$17+LOG10(L26)*MultiLogRegr1stWeek!$B$18+MultiLogRegr1stWeek!$B$19*14+MultiLogRegr1stWeek!$B$20*0))</f>
        <v>295.50512690641466</v>
      </c>
      <c r="U26">
        <v>24</v>
      </c>
      <c r="V26">
        <v>335</v>
      </c>
      <c r="W26">
        <v>161</v>
      </c>
    </row>
    <row r="27" spans="1:23" x14ac:dyDescent="0.3">
      <c r="K27">
        <v>26</v>
      </c>
      <c r="L27">
        <f t="shared" ca="1" si="1"/>
        <v>448.55817393633652</v>
      </c>
      <c r="M27">
        <f ca="1">IF(L27&lt;=0,0,10^(MultiLogRegr1stWeek!$B$17+LOG10(L27)*MultiLogRegr1stWeek!$B$18+MultiLogRegr1stWeek!$B$19*14+MultiLogRegr1stWeek!$B$20*0))</f>
        <v>202.95453065991666</v>
      </c>
      <c r="U27">
        <v>25</v>
      </c>
      <c r="V27">
        <v>344</v>
      </c>
      <c r="W27">
        <v>165</v>
      </c>
    </row>
    <row r="28" spans="1:23" x14ac:dyDescent="0.3">
      <c r="K28">
        <v>27</v>
      </c>
      <c r="L28">
        <f t="shared" ca="1" si="1"/>
        <v>992.22314487347478</v>
      </c>
      <c r="M28">
        <f ca="1">IF(L28&lt;=0,0,10^(MultiLogRegr1stWeek!$B$17+LOG10(L28)*MultiLogRegr1stWeek!$B$18+MultiLogRegr1stWeek!$B$19*14+MultiLogRegr1stWeek!$B$20*0))</f>
        <v>456.53088235691081</v>
      </c>
      <c r="U28">
        <v>26</v>
      </c>
      <c r="V28">
        <v>324</v>
      </c>
      <c r="W28">
        <v>158</v>
      </c>
    </row>
    <row r="29" spans="1:23" x14ac:dyDescent="0.3">
      <c r="K29">
        <v>28</v>
      </c>
      <c r="L29">
        <f t="shared" ca="1" si="1"/>
        <v>-42.125022849654044</v>
      </c>
      <c r="M29">
        <f ca="1">IF(L29&lt;=0,0,10^(MultiLogRegr1stWeek!$B$17+LOG10(L29)*MultiLogRegr1stWeek!$B$18+MultiLogRegr1stWeek!$B$19*14+MultiLogRegr1stWeek!$B$20*0))</f>
        <v>0</v>
      </c>
      <c r="U29">
        <v>27</v>
      </c>
      <c r="V29">
        <v>336</v>
      </c>
      <c r="W29">
        <v>162</v>
      </c>
    </row>
    <row r="30" spans="1:23" x14ac:dyDescent="0.3">
      <c r="A30" s="1" t="s">
        <v>0</v>
      </c>
      <c r="B30" s="1" t="s">
        <v>5</v>
      </c>
      <c r="C30" s="1" t="s">
        <v>19</v>
      </c>
      <c r="D30" s="1" t="s">
        <v>2</v>
      </c>
      <c r="E30" s="1" t="s">
        <v>6</v>
      </c>
      <c r="F30" s="1" t="s">
        <v>3</v>
      </c>
      <c r="K30">
        <v>29</v>
      </c>
      <c r="L30">
        <f t="shared" ca="1" si="1"/>
        <v>-34.662949028405819</v>
      </c>
      <c r="M30">
        <f ca="1">IF(L30&lt;=0,0,10^(MultiLogRegr1stWeek!$B$17+LOG10(L30)*MultiLogRegr1stWeek!$B$18+MultiLogRegr1stWeek!$B$19*14+MultiLogRegr1stWeek!$B$20*0))</f>
        <v>0</v>
      </c>
      <c r="U30">
        <v>28</v>
      </c>
      <c r="V30">
        <v>331</v>
      </c>
      <c r="W30">
        <v>158</v>
      </c>
    </row>
    <row r="31" spans="1:23" x14ac:dyDescent="0.3">
      <c r="A31" s="2">
        <v>1</v>
      </c>
      <c r="B31" s="1">
        <v>93</v>
      </c>
      <c r="C31" s="1">
        <f>LOG10(B31)</f>
        <v>1.968482948553935</v>
      </c>
      <c r="D31" s="1">
        <v>2.2380461031287955</v>
      </c>
      <c r="E31" s="1">
        <v>14</v>
      </c>
      <c r="F31" s="1">
        <v>0</v>
      </c>
      <c r="K31">
        <v>30</v>
      </c>
      <c r="L31">
        <f t="shared" ca="1" si="1"/>
        <v>-11.665937579841625</v>
      </c>
      <c r="M31">
        <f ca="1">IF(L31&lt;=0,0,10^(MultiLogRegr1stWeek!$B$17+LOG10(L31)*MultiLogRegr1stWeek!$B$18+MultiLogRegr1stWeek!$B$19*14+MultiLogRegr1stWeek!$B$20*0))</f>
        <v>0</v>
      </c>
      <c r="U31">
        <v>29</v>
      </c>
      <c r="V31">
        <v>337</v>
      </c>
      <c r="W31">
        <v>161</v>
      </c>
    </row>
    <row r="32" spans="1:23" x14ac:dyDescent="0.3">
      <c r="A32" s="2">
        <v>2</v>
      </c>
      <c r="B32" s="1">
        <v>108</v>
      </c>
      <c r="C32" s="1">
        <f t="shared" ref="C32:C53" si="2">LOG10(B32)</f>
        <v>2.0334237554869499</v>
      </c>
      <c r="D32" s="1">
        <v>2.2922560713564759</v>
      </c>
      <c r="E32" s="1">
        <v>14</v>
      </c>
      <c r="F32" s="1">
        <v>0</v>
      </c>
      <c r="K32">
        <v>31</v>
      </c>
      <c r="L32">
        <f t="shared" ca="1" si="1"/>
        <v>446.04228195479709</v>
      </c>
      <c r="M32">
        <f ca="1">IF(L32&lt;=0,0,10^(MultiLogRegr1stWeek!$B$17+LOG10(L32)*MultiLogRegr1stWeek!$B$18+MultiLogRegr1stWeek!$B$19*14+MultiLogRegr1stWeek!$B$20*0))</f>
        <v>201.79222174217506</v>
      </c>
      <c r="U32">
        <v>30</v>
      </c>
      <c r="V32">
        <v>334</v>
      </c>
      <c r="W32">
        <v>161</v>
      </c>
    </row>
    <row r="33" spans="1:23" x14ac:dyDescent="0.3">
      <c r="A33" s="2">
        <v>3</v>
      </c>
      <c r="B33" s="1">
        <v>155</v>
      </c>
      <c r="C33" s="1">
        <f t="shared" si="2"/>
        <v>2.1903316981702914</v>
      </c>
      <c r="D33" s="1">
        <v>2.2900346113625178</v>
      </c>
      <c r="E33" s="1">
        <v>6</v>
      </c>
      <c r="F33" s="1">
        <v>0</v>
      </c>
      <c r="K33">
        <v>32</v>
      </c>
      <c r="L33">
        <f t="shared" ca="1" si="1"/>
        <v>860.26231470803702</v>
      </c>
      <c r="M33">
        <f ca="1">IF(L33&lt;=0,0,10^(MultiLogRegr1stWeek!$B$17+LOG10(L33)*MultiLogRegr1stWeek!$B$18+MultiLogRegr1stWeek!$B$19*14+MultiLogRegr1stWeek!$B$20*0))</f>
        <v>394.62348432521264</v>
      </c>
      <c r="U33">
        <v>31</v>
      </c>
      <c r="V33">
        <v>350</v>
      </c>
      <c r="W33">
        <v>166</v>
      </c>
    </row>
    <row r="34" spans="1:23" x14ac:dyDescent="0.3">
      <c r="A34" s="2">
        <v>4</v>
      </c>
      <c r="B34" s="1">
        <v>103</v>
      </c>
      <c r="C34" s="1">
        <f t="shared" si="2"/>
        <v>2.012837224705172</v>
      </c>
      <c r="D34" s="1">
        <v>2.3222192947339191</v>
      </c>
      <c r="E34" s="1">
        <v>8</v>
      </c>
      <c r="F34" s="1">
        <v>0</v>
      </c>
      <c r="K34">
        <v>33</v>
      </c>
      <c r="L34">
        <f t="shared" ca="1" si="1"/>
        <v>286.65621616564795</v>
      </c>
      <c r="M34">
        <f ca="1">IF(L34&lt;=0,0,10^(MultiLogRegr1stWeek!$B$17+LOG10(L34)*MultiLogRegr1stWeek!$B$18+MultiLogRegr1stWeek!$B$19*14+MultiLogRegr1stWeek!$B$20*0))</f>
        <v>128.47985706368075</v>
      </c>
      <c r="U34">
        <v>32</v>
      </c>
      <c r="V34">
        <v>357</v>
      </c>
      <c r="W34">
        <v>169</v>
      </c>
    </row>
    <row r="35" spans="1:23" x14ac:dyDescent="0.3">
      <c r="A35" s="2">
        <v>5</v>
      </c>
      <c r="B35" s="1">
        <v>208</v>
      </c>
      <c r="C35" s="1">
        <f t="shared" si="2"/>
        <v>2.3180633349627615</v>
      </c>
      <c r="D35" s="1">
        <v>2.4638929889859074</v>
      </c>
      <c r="E35" s="1">
        <v>6</v>
      </c>
      <c r="F35" s="1">
        <v>0</v>
      </c>
      <c r="K35">
        <v>34</v>
      </c>
      <c r="L35">
        <f t="shared" ca="1" si="1"/>
        <v>697.35954599657748</v>
      </c>
      <c r="M35">
        <f ca="1">IF(L35&lt;=0,0,10^(MultiLogRegr1stWeek!$B$17+LOG10(L35)*MultiLogRegr1stWeek!$B$18+MultiLogRegr1stWeek!$B$19*14+MultiLogRegr1stWeek!$B$20*0))</f>
        <v>318.48096724707818</v>
      </c>
      <c r="U35">
        <v>33</v>
      </c>
      <c r="V35">
        <v>347</v>
      </c>
      <c r="W35">
        <v>165</v>
      </c>
    </row>
    <row r="36" spans="1:23" x14ac:dyDescent="0.3">
      <c r="A36" s="2">
        <v>6</v>
      </c>
      <c r="B36" s="1">
        <v>103</v>
      </c>
      <c r="C36" s="1">
        <f t="shared" si="2"/>
        <v>2.012837224705172</v>
      </c>
      <c r="D36" s="1">
        <v>2.2304489213782741</v>
      </c>
      <c r="E36" s="1">
        <v>7</v>
      </c>
      <c r="F36" s="1">
        <v>0</v>
      </c>
      <c r="K36">
        <v>35</v>
      </c>
      <c r="L36">
        <f t="shared" ca="1" si="1"/>
        <v>-260.63199828445318</v>
      </c>
      <c r="M36">
        <f ca="1">IF(L36&lt;=0,0,10^(MultiLogRegr1stWeek!$B$17+LOG10(L36)*MultiLogRegr1stWeek!$B$18+MultiLogRegr1stWeek!$B$19*14+MultiLogRegr1stWeek!$B$20*0))</f>
        <v>0</v>
      </c>
      <c r="U36">
        <v>34</v>
      </c>
      <c r="V36">
        <v>340</v>
      </c>
      <c r="W36">
        <v>165</v>
      </c>
    </row>
    <row r="37" spans="1:23" x14ac:dyDescent="0.3">
      <c r="A37" s="2">
        <v>7</v>
      </c>
      <c r="B37" s="1">
        <v>163</v>
      </c>
      <c r="C37" s="1">
        <f t="shared" si="2"/>
        <v>2.2121876044039577</v>
      </c>
      <c r="D37" s="1">
        <v>2.4014005407815442</v>
      </c>
      <c r="E37" s="1">
        <v>8</v>
      </c>
      <c r="F37" s="1">
        <v>0</v>
      </c>
      <c r="K37">
        <v>36</v>
      </c>
      <c r="L37">
        <f t="shared" ca="1" si="1"/>
        <v>-357.96659103854506</v>
      </c>
      <c r="M37">
        <f ca="1">IF(L37&lt;=0,0,10^(MultiLogRegr1stWeek!$B$17+LOG10(L37)*MultiLogRegr1stWeek!$B$18+MultiLogRegr1stWeek!$B$19*14+MultiLogRegr1stWeek!$B$20*0))</f>
        <v>0</v>
      </c>
      <c r="U37">
        <v>35</v>
      </c>
      <c r="V37">
        <v>322</v>
      </c>
      <c r="W37">
        <v>155</v>
      </c>
    </row>
    <row r="38" spans="1:23" x14ac:dyDescent="0.3">
      <c r="A38" s="2">
        <v>8</v>
      </c>
      <c r="B38" s="1">
        <v>272</v>
      </c>
      <c r="C38" s="1">
        <f t="shared" si="2"/>
        <v>2.4345689040341987</v>
      </c>
      <c r="D38" s="1">
        <v>2.716003343634799</v>
      </c>
      <c r="E38" s="1">
        <v>14</v>
      </c>
      <c r="F38" s="1">
        <v>0</v>
      </c>
      <c r="K38">
        <v>37</v>
      </c>
      <c r="L38">
        <f t="shared" ca="1" si="1"/>
        <v>253.03286546070407</v>
      </c>
      <c r="M38">
        <f ca="1">IF(L38&lt;=0,0,10^(MultiLogRegr1stWeek!$B$17+LOG10(L38)*MultiLogRegr1stWeek!$B$18+MultiLogRegr1stWeek!$B$19*14+MultiLogRegr1stWeek!$B$20*0))</f>
        <v>113.1114108131502</v>
      </c>
      <c r="U38">
        <v>36</v>
      </c>
      <c r="V38">
        <v>334</v>
      </c>
      <c r="W38">
        <v>162</v>
      </c>
    </row>
    <row r="39" spans="1:23" x14ac:dyDescent="0.3">
      <c r="A39" s="2">
        <v>9</v>
      </c>
      <c r="B39" s="1">
        <v>83</v>
      </c>
      <c r="C39" s="1">
        <f t="shared" si="2"/>
        <v>1.919078092376074</v>
      </c>
      <c r="D39" s="1">
        <v>2.214843848047698</v>
      </c>
      <c r="E39" s="1">
        <v>7</v>
      </c>
      <c r="F39" s="1">
        <v>0</v>
      </c>
      <c r="K39">
        <v>38</v>
      </c>
      <c r="L39">
        <f t="shared" ca="1" si="1"/>
        <v>255.18056313082087</v>
      </c>
      <c r="M39">
        <f ca="1">IF(L39&lt;=0,0,10^(MultiLogRegr1stWeek!$B$17+LOG10(L39)*MultiLogRegr1stWeek!$B$18+MultiLogRegr1stWeek!$B$19*14+MultiLogRegr1stWeek!$B$20*0))</f>
        <v>114.09184131285916</v>
      </c>
      <c r="U39">
        <v>37</v>
      </c>
      <c r="V39">
        <v>335</v>
      </c>
      <c r="W39">
        <v>161</v>
      </c>
    </row>
    <row r="40" spans="1:23" x14ac:dyDescent="0.3">
      <c r="A40" s="2">
        <v>10</v>
      </c>
      <c r="B40" s="1">
        <v>91</v>
      </c>
      <c r="C40" s="1">
        <f t="shared" si="2"/>
        <v>1.9590413923210936</v>
      </c>
      <c r="D40" s="1">
        <v>2.1303337684950061</v>
      </c>
      <c r="E40" s="1">
        <v>7</v>
      </c>
      <c r="F40" s="1">
        <v>0</v>
      </c>
      <c r="K40">
        <v>39</v>
      </c>
      <c r="L40">
        <f t="shared" ca="1" si="1"/>
        <v>368.16051242480756</v>
      </c>
      <c r="M40">
        <f ca="1">IF(L40&lt;=0,0,10^(MultiLogRegr1stWeek!$B$17+LOG10(L40)*MultiLogRegr1stWeek!$B$18+MultiLogRegr1stWeek!$B$19*14+MultiLogRegr1stWeek!$B$20*0))</f>
        <v>165.88448145925372</v>
      </c>
      <c r="U40">
        <v>38</v>
      </c>
      <c r="V40">
        <v>328</v>
      </c>
      <c r="W40">
        <v>158</v>
      </c>
    </row>
    <row r="41" spans="1:23" x14ac:dyDescent="0.3">
      <c r="A41" s="2">
        <v>11</v>
      </c>
      <c r="B41" s="1">
        <v>79</v>
      </c>
      <c r="C41" s="1">
        <f t="shared" si="2"/>
        <v>1.8976270912904414</v>
      </c>
      <c r="D41" s="1">
        <v>2.1846914308175989</v>
      </c>
      <c r="E41" s="1">
        <v>7</v>
      </c>
      <c r="F41" s="1">
        <v>0</v>
      </c>
      <c r="K41">
        <v>40</v>
      </c>
      <c r="L41">
        <f t="shared" ca="1" si="1"/>
        <v>264.74080894786334</v>
      </c>
      <c r="M41">
        <f ca="1">IF(L41&lt;=0,0,10^(MultiLogRegr1stWeek!$B$17+LOG10(L41)*MultiLogRegr1stWeek!$B$18+MultiLogRegr1stWeek!$B$19*14+MultiLogRegr1stWeek!$B$20*0))</f>
        <v>118.45821723375954</v>
      </c>
      <c r="U41">
        <v>39</v>
      </c>
      <c r="V41">
        <v>313</v>
      </c>
      <c r="W41">
        <v>151</v>
      </c>
    </row>
    <row r="42" spans="1:23" x14ac:dyDescent="0.3">
      <c r="A42" s="2">
        <v>12</v>
      </c>
      <c r="B42" s="1">
        <v>116</v>
      </c>
      <c r="C42" s="1">
        <f t="shared" si="2"/>
        <v>2.0644579892269186</v>
      </c>
      <c r="D42" s="1">
        <v>2.5078558716958308</v>
      </c>
      <c r="E42" s="1">
        <v>9</v>
      </c>
      <c r="F42" s="1">
        <v>0</v>
      </c>
      <c r="K42">
        <v>41</v>
      </c>
      <c r="L42">
        <f t="shared" ca="1" si="1"/>
        <v>335.58799076410315</v>
      </c>
      <c r="M42">
        <f ca="1">IF(L42&lt;=0,0,10^(MultiLogRegr1stWeek!$B$17+LOG10(L42)*MultiLogRegr1stWeek!$B$18+MultiLogRegr1stWeek!$B$19*14+MultiLogRegr1stWeek!$B$20*0))</f>
        <v>150.91257305589951</v>
      </c>
      <c r="U42">
        <v>40</v>
      </c>
      <c r="V42">
        <v>335</v>
      </c>
      <c r="W42">
        <v>160</v>
      </c>
    </row>
    <row r="43" spans="1:23" x14ac:dyDescent="0.3">
      <c r="A43" s="2">
        <v>13</v>
      </c>
      <c r="B43" s="1">
        <v>120</v>
      </c>
      <c r="C43" s="1">
        <f t="shared" si="2"/>
        <v>2.0791812460476247</v>
      </c>
      <c r="D43" s="1">
        <v>2.4742162640762553</v>
      </c>
      <c r="E43" s="1">
        <v>19</v>
      </c>
      <c r="F43" s="1">
        <v>0</v>
      </c>
      <c r="K43">
        <v>42</v>
      </c>
      <c r="L43">
        <f t="shared" ca="1" si="1"/>
        <v>758.13982789118086</v>
      </c>
      <c r="M43">
        <f ca="1">IF(L43&lt;=0,0,10^(MultiLogRegr1stWeek!$B$17+LOG10(L43)*MultiLogRegr1stWeek!$B$18+MultiLogRegr1stWeek!$B$19*14+MultiLogRegr1stWeek!$B$20*0))</f>
        <v>346.85057919607476</v>
      </c>
      <c r="U43">
        <v>41</v>
      </c>
      <c r="V43">
        <v>322</v>
      </c>
      <c r="W43">
        <v>156</v>
      </c>
    </row>
    <row r="44" spans="1:23" x14ac:dyDescent="0.3">
      <c r="A44" s="2">
        <v>14</v>
      </c>
      <c r="B44" s="1">
        <v>49</v>
      </c>
      <c r="C44" s="1">
        <f t="shared" si="2"/>
        <v>1.6901960800285136</v>
      </c>
      <c r="D44" s="1">
        <v>2.1238516409670858</v>
      </c>
      <c r="E44" s="1">
        <v>9</v>
      </c>
      <c r="F44" s="1">
        <v>0</v>
      </c>
      <c r="K44">
        <v>43</v>
      </c>
      <c r="L44">
        <f t="shared" ca="1" si="1"/>
        <v>169.41488040851942</v>
      </c>
      <c r="M44">
        <f ca="1">IF(L44&lt;=0,0,10^(MultiLogRegr1stWeek!$B$17+LOG10(L44)*MultiLogRegr1stWeek!$B$18+MultiLogRegr1stWeek!$B$19*14+MultiLogRegr1stWeek!$B$20*0))</f>
        <v>75.093436201031309</v>
      </c>
      <c r="U44">
        <v>42</v>
      </c>
      <c r="V44">
        <v>341</v>
      </c>
      <c r="W44">
        <v>164</v>
      </c>
    </row>
    <row r="45" spans="1:23" x14ac:dyDescent="0.3">
      <c r="A45" s="2">
        <v>15</v>
      </c>
      <c r="B45" s="1">
        <v>114</v>
      </c>
      <c r="C45" s="1">
        <f t="shared" si="2"/>
        <v>2.0569048513364727</v>
      </c>
      <c r="D45" s="1">
        <v>2.2833012287035497</v>
      </c>
      <c r="E45" s="1">
        <v>11</v>
      </c>
      <c r="F45" s="1">
        <v>0</v>
      </c>
      <c r="K45">
        <v>44</v>
      </c>
      <c r="L45">
        <f t="shared" ca="1" si="1"/>
        <v>457.93936893186549</v>
      </c>
      <c r="M45">
        <f ca="1">IF(L45&lt;=0,0,10^(MultiLogRegr1stWeek!$B$17+LOG10(L45)*MultiLogRegr1stWeek!$B$18+MultiLogRegr1stWeek!$B$19*14+MultiLogRegr1stWeek!$B$20*0))</f>
        <v>207.28972679700877</v>
      </c>
      <c r="U45">
        <v>43</v>
      </c>
      <c r="V45">
        <v>349</v>
      </c>
      <c r="W45">
        <v>167</v>
      </c>
    </row>
    <row r="46" spans="1:23" x14ac:dyDescent="0.3">
      <c r="A46" s="2">
        <v>16</v>
      </c>
      <c r="B46" s="1">
        <v>80</v>
      </c>
      <c r="C46" s="1">
        <f t="shared" si="2"/>
        <v>1.9030899869919435</v>
      </c>
      <c r="D46" s="1">
        <v>2.2966651902615309</v>
      </c>
      <c r="E46" s="1">
        <v>7</v>
      </c>
      <c r="F46" s="1">
        <v>0</v>
      </c>
      <c r="K46">
        <v>45</v>
      </c>
      <c r="L46">
        <f t="shared" ca="1" si="1"/>
        <v>-126.03785481181421</v>
      </c>
      <c r="M46">
        <f ca="1">IF(L46&lt;=0,0,10^(MultiLogRegr1stWeek!$B$17+LOG10(L46)*MultiLogRegr1stWeek!$B$18+MultiLogRegr1stWeek!$B$19*14+MultiLogRegr1stWeek!$B$20*0))</f>
        <v>0</v>
      </c>
      <c r="U46">
        <v>44</v>
      </c>
      <c r="V46">
        <v>362</v>
      </c>
      <c r="W46">
        <v>172</v>
      </c>
    </row>
    <row r="47" spans="1:23" x14ac:dyDescent="0.3">
      <c r="A47" s="2">
        <v>17</v>
      </c>
      <c r="B47" s="1">
        <v>136</v>
      </c>
      <c r="C47" s="1">
        <f t="shared" si="2"/>
        <v>2.1335389083702174</v>
      </c>
      <c r="D47" s="1">
        <v>2.9960736544852753</v>
      </c>
      <c r="E47" s="1">
        <v>29</v>
      </c>
      <c r="F47" s="1">
        <v>1</v>
      </c>
      <c r="K47">
        <v>46</v>
      </c>
      <c r="L47">
        <f t="shared" ca="1" si="1"/>
        <v>406.62977177499681</v>
      </c>
      <c r="M47">
        <f ca="1">IF(L47&lt;=0,0,10^(MultiLogRegr1stWeek!$B$17+LOG10(L47)*MultiLogRegr1stWeek!$B$18+MultiLogRegr1stWeek!$B$19*14+MultiLogRegr1stWeek!$B$20*0))</f>
        <v>183.60274244769178</v>
      </c>
      <c r="U47">
        <v>45</v>
      </c>
      <c r="V47">
        <v>328</v>
      </c>
      <c r="W47">
        <v>158</v>
      </c>
    </row>
    <row r="48" spans="1:23" x14ac:dyDescent="0.3">
      <c r="A48" s="2">
        <v>18</v>
      </c>
      <c r="B48" s="1">
        <v>168</v>
      </c>
      <c r="C48" s="1">
        <f t="shared" si="2"/>
        <v>2.2253092817258628</v>
      </c>
      <c r="D48" s="1">
        <v>3.0948203803548</v>
      </c>
      <c r="E48" s="1">
        <v>28</v>
      </c>
      <c r="F48" s="1">
        <v>1</v>
      </c>
      <c r="K48">
        <v>47</v>
      </c>
      <c r="L48">
        <f t="shared" ca="1" si="1"/>
        <v>376.57319000098283</v>
      </c>
      <c r="M48">
        <f ca="1">IF(L48&lt;=0,0,10^(MultiLogRegr1stWeek!$B$17+LOG10(L48)*MultiLogRegr1stWeek!$B$18+MultiLogRegr1stWeek!$B$19*14+MultiLogRegr1stWeek!$B$20*0))</f>
        <v>169.7560073070288</v>
      </c>
      <c r="U48">
        <v>46</v>
      </c>
      <c r="V48">
        <v>335</v>
      </c>
      <c r="W48">
        <v>163</v>
      </c>
    </row>
    <row r="49" spans="1:23" x14ac:dyDescent="0.3">
      <c r="A49" s="2">
        <v>19</v>
      </c>
      <c r="B49" s="1">
        <v>232</v>
      </c>
      <c r="C49" s="1">
        <f t="shared" si="2"/>
        <v>2.3654879848908998</v>
      </c>
      <c r="D49" s="1">
        <v>2.9319661147281728</v>
      </c>
      <c r="E49" s="1">
        <v>21</v>
      </c>
      <c r="F49" s="1">
        <v>1</v>
      </c>
      <c r="K49">
        <v>48</v>
      </c>
      <c r="L49">
        <f t="shared" ca="1" si="1"/>
        <v>393.33773092497512</v>
      </c>
      <c r="M49">
        <f ca="1">IF(L49&lt;=0,0,10^(MultiLogRegr1stWeek!$B$17+LOG10(L49)*MultiLogRegr1stWeek!$B$18+MultiLogRegr1stWeek!$B$19*14+MultiLogRegr1stWeek!$B$20*0))</f>
        <v>177.47648156181307</v>
      </c>
      <c r="U49">
        <v>47</v>
      </c>
      <c r="V49">
        <v>333</v>
      </c>
      <c r="W49">
        <v>160</v>
      </c>
    </row>
    <row r="50" spans="1:23" x14ac:dyDescent="0.3">
      <c r="A50" s="2">
        <v>20</v>
      </c>
      <c r="B50" s="1">
        <v>206</v>
      </c>
      <c r="C50" s="1">
        <f t="shared" si="2"/>
        <v>2.3138672203691533</v>
      </c>
      <c r="D50" s="1">
        <v>2.4638929889859074</v>
      </c>
      <c r="E50" s="1">
        <v>10</v>
      </c>
      <c r="F50" s="1">
        <v>0</v>
      </c>
      <c r="K50">
        <v>49</v>
      </c>
      <c r="L50">
        <f t="shared" ca="1" si="1"/>
        <v>192.8165335711829</v>
      </c>
      <c r="M50">
        <f ca="1">IF(L50&lt;=0,0,10^(MultiLogRegr1stWeek!$B$17+LOG10(L50)*MultiLogRegr1stWeek!$B$18+MultiLogRegr1stWeek!$B$19*14+MultiLogRegr1stWeek!$B$20*0))</f>
        <v>85.700094067962382</v>
      </c>
      <c r="U50">
        <v>48</v>
      </c>
      <c r="V50">
        <v>344</v>
      </c>
      <c r="W50">
        <v>165</v>
      </c>
    </row>
    <row r="51" spans="1:23" x14ac:dyDescent="0.3">
      <c r="A51" s="2">
        <v>21</v>
      </c>
      <c r="B51" s="1">
        <v>104</v>
      </c>
      <c r="C51" s="1">
        <f t="shared" si="2"/>
        <v>2.0170333392987803</v>
      </c>
      <c r="D51" s="1">
        <v>2.1553360374650619</v>
      </c>
      <c r="E51" s="1">
        <v>4</v>
      </c>
      <c r="F51" s="1">
        <v>0</v>
      </c>
      <c r="K51">
        <v>50</v>
      </c>
      <c r="L51">
        <f t="shared" ca="1" si="1"/>
        <v>397.31589144336544</v>
      </c>
      <c r="M51">
        <f ca="1">IF(L51&lt;=0,0,10^(MultiLogRegr1stWeek!$B$17+LOG10(L51)*MultiLogRegr1stWeek!$B$18+MultiLogRegr1stWeek!$B$19*14+MultiLogRegr1stWeek!$B$20*0))</f>
        <v>179.3095517605943</v>
      </c>
      <c r="U51">
        <v>49</v>
      </c>
      <c r="V51">
        <v>356</v>
      </c>
      <c r="W51">
        <v>170</v>
      </c>
    </row>
    <row r="52" spans="1:23" x14ac:dyDescent="0.3">
      <c r="A52" s="2">
        <v>22</v>
      </c>
      <c r="B52" s="1">
        <v>117</v>
      </c>
      <c r="C52" s="1">
        <f t="shared" si="2"/>
        <v>2.0681858617461617</v>
      </c>
      <c r="D52" s="1">
        <v>2.403120521175818</v>
      </c>
      <c r="E52" s="1">
        <v>7</v>
      </c>
      <c r="F52" s="1">
        <v>0</v>
      </c>
      <c r="K52">
        <v>51</v>
      </c>
      <c r="L52">
        <f t="shared" ca="1" si="1"/>
        <v>332.41986624018466</v>
      </c>
      <c r="M52">
        <f ca="1">IF(L52&lt;=0,0,10^(MultiLogRegr1stWeek!$B$17+LOG10(L52)*MultiLogRegr1stWeek!$B$18+MultiLogRegr1stWeek!$B$19*14+MultiLogRegr1stWeek!$B$20*0))</f>
        <v>149.45794084070837</v>
      </c>
      <c r="U52">
        <v>50</v>
      </c>
      <c r="V52">
        <v>343</v>
      </c>
      <c r="W52">
        <v>165</v>
      </c>
    </row>
    <row r="53" spans="1:23" x14ac:dyDescent="0.3">
      <c r="A53" s="2">
        <v>23</v>
      </c>
      <c r="B53" s="1">
        <v>171</v>
      </c>
      <c r="C53" s="1">
        <f t="shared" si="2"/>
        <v>2.2329961103921536</v>
      </c>
      <c r="D53" s="1">
        <v>2.5854607295085006</v>
      </c>
      <c r="E53" s="1">
        <v>6</v>
      </c>
      <c r="F53" s="1">
        <v>1</v>
      </c>
      <c r="K53">
        <v>52</v>
      </c>
      <c r="L53">
        <f t="shared" ca="1" si="1"/>
        <v>586.14983455537265</v>
      </c>
      <c r="M53">
        <f ca="1">IF(L53&lt;=0,0,10^(MultiLogRegr1stWeek!$B$17+LOG10(L53)*MultiLogRegr1stWeek!$B$18+MultiLogRegr1stWeek!$B$19*14+MultiLogRegr1stWeek!$B$20*0))</f>
        <v>266.71176085336208</v>
      </c>
      <c r="U53">
        <v>51</v>
      </c>
      <c r="V53">
        <v>339</v>
      </c>
      <c r="W53">
        <v>163</v>
      </c>
    </row>
    <row r="54" spans="1:23" x14ac:dyDescent="0.3">
      <c r="K54">
        <v>53</v>
      </c>
      <c r="L54">
        <f t="shared" ca="1" si="1"/>
        <v>731.68670473744169</v>
      </c>
      <c r="M54">
        <f ca="1">IF(L54&lt;=0,0,10^(MultiLogRegr1stWeek!$B$17+LOG10(L54)*MultiLogRegr1stWeek!$B$18+MultiLogRegr1stWeek!$B$19*14+MultiLogRegr1stWeek!$B$20*0))</f>
        <v>334.49726303776725</v>
      </c>
      <c r="U54">
        <v>52</v>
      </c>
      <c r="V54">
        <v>342</v>
      </c>
      <c r="W54">
        <v>165</v>
      </c>
    </row>
    <row r="55" spans="1:23" x14ac:dyDescent="0.3">
      <c r="K55">
        <v>54</v>
      </c>
      <c r="L55">
        <f t="shared" ca="1" si="1"/>
        <v>309.38502704671606</v>
      </c>
      <c r="M55">
        <f ca="1">IF(L55&lt;=0,0,10^(MultiLogRegr1stWeek!$B$17+LOG10(L55)*MultiLogRegr1stWeek!$B$18+MultiLogRegr1stWeek!$B$19*14+MultiLogRegr1stWeek!$B$20*0))</f>
        <v>138.89056214091349</v>
      </c>
      <c r="U55">
        <v>53</v>
      </c>
      <c r="V55">
        <v>327</v>
      </c>
      <c r="W55">
        <v>156</v>
      </c>
    </row>
    <row r="56" spans="1:23" x14ac:dyDescent="0.3">
      <c r="K56">
        <v>55</v>
      </c>
      <c r="L56">
        <f t="shared" ca="1" si="1"/>
        <v>78.175014924153231</v>
      </c>
      <c r="M56">
        <f ca="1">IF(L56&lt;=0,0,10^(MultiLogRegr1stWeek!$B$17+LOG10(L56)*MultiLogRegr1stWeek!$B$18+MultiLogRegr1stWeek!$B$19*14+MultiLogRegr1stWeek!$B$20*0))</f>
        <v>34.089894019154102</v>
      </c>
      <c r="U56">
        <v>54</v>
      </c>
      <c r="V56">
        <v>346</v>
      </c>
      <c r="W56">
        <v>164</v>
      </c>
    </row>
    <row r="57" spans="1:23" x14ac:dyDescent="0.3">
      <c r="K57">
        <v>56</v>
      </c>
      <c r="L57">
        <f t="shared" ca="1" si="1"/>
        <v>780.12436375396908</v>
      </c>
      <c r="M57">
        <f ca="1">IF(L57&lt;=0,0,10^(MultiLogRegr1stWeek!$B$17+LOG10(L57)*MultiLogRegr1stWeek!$B$18+MultiLogRegr1stWeek!$B$19*14+MultiLogRegr1stWeek!$B$20*0))</f>
        <v>357.12405709629803</v>
      </c>
      <c r="U57">
        <v>55</v>
      </c>
      <c r="V57">
        <v>327</v>
      </c>
      <c r="W57">
        <v>158</v>
      </c>
    </row>
    <row r="58" spans="1:23" x14ac:dyDescent="0.3">
      <c r="K58">
        <v>57</v>
      </c>
      <c r="L58">
        <f t="shared" ca="1" si="1"/>
        <v>796.65228221134976</v>
      </c>
      <c r="M58">
        <f ca="1">IF(L58&lt;=0,0,10^(MultiLogRegr1stWeek!$B$17+LOG10(L58)*MultiLogRegr1stWeek!$B$18+MultiLogRegr1stWeek!$B$19*14+MultiLogRegr1stWeek!$B$20*0))</f>
        <v>364.8516684131144</v>
      </c>
      <c r="U58">
        <v>56</v>
      </c>
      <c r="V58">
        <v>338</v>
      </c>
      <c r="W58">
        <v>162</v>
      </c>
    </row>
    <row r="59" spans="1:23" x14ac:dyDescent="0.3">
      <c r="K59">
        <v>58</v>
      </c>
      <c r="L59">
        <f t="shared" ca="1" si="1"/>
        <v>363.75696367182587</v>
      </c>
      <c r="M59">
        <f ca="1">IF(L59&lt;=0,0,10^(MultiLogRegr1stWeek!$B$17+LOG10(L59)*MultiLogRegr1stWeek!$B$18+MultiLogRegr1stWeek!$B$19*14+MultiLogRegr1stWeek!$B$20*0))</f>
        <v>163.85870431008405</v>
      </c>
      <c r="U59">
        <v>57</v>
      </c>
      <c r="V59">
        <v>342</v>
      </c>
      <c r="W59">
        <v>164</v>
      </c>
    </row>
    <row r="60" spans="1:23" x14ac:dyDescent="0.3">
      <c r="K60">
        <v>59</v>
      </c>
      <c r="L60">
        <f t="shared" ca="1" si="1"/>
        <v>384.50367378125651</v>
      </c>
      <c r="M60">
        <f ca="1">IF(L60&lt;=0,0,10^(MultiLogRegr1stWeek!$B$17+LOG10(L60)*MultiLogRegr1stWeek!$B$18+MultiLogRegr1stWeek!$B$19*14+MultiLogRegr1stWeek!$B$20*0))</f>
        <v>173.40730048805392</v>
      </c>
      <c r="U60">
        <v>58</v>
      </c>
      <c r="V60">
        <v>334</v>
      </c>
      <c r="W60">
        <v>161</v>
      </c>
    </row>
    <row r="61" spans="1:23" x14ac:dyDescent="0.3">
      <c r="K61">
        <v>60</v>
      </c>
      <c r="L61">
        <f t="shared" ca="1" si="1"/>
        <v>493.30965862887007</v>
      </c>
      <c r="M61">
        <f ca="1">IF(L61&lt;=0,0,10^(MultiLogRegr1stWeek!$B$17+LOG10(L61)*MultiLogRegr1stWeek!$B$18+MultiLogRegr1stWeek!$B$19*14+MultiLogRegr1stWeek!$B$20*0))</f>
        <v>223.65145661213842</v>
      </c>
      <c r="U61">
        <v>59</v>
      </c>
      <c r="V61">
        <v>356</v>
      </c>
      <c r="W61">
        <v>169</v>
      </c>
    </row>
    <row r="62" spans="1:23" x14ac:dyDescent="0.3">
      <c r="K62">
        <v>61</v>
      </c>
      <c r="L62">
        <f t="shared" ca="1" si="1"/>
        <v>509.86743909475194</v>
      </c>
      <c r="M62">
        <f ca="1">IF(L62&lt;=0,0,10^(MultiLogRegr1stWeek!$B$17+LOG10(L62)*MultiLogRegr1stWeek!$B$18+MultiLogRegr1stWeek!$B$19*14+MultiLogRegr1stWeek!$B$20*0))</f>
        <v>231.31945170451539</v>
      </c>
      <c r="U62">
        <v>60</v>
      </c>
      <c r="V62">
        <v>333</v>
      </c>
      <c r="W62">
        <v>159</v>
      </c>
    </row>
    <row r="63" spans="1:23" x14ac:dyDescent="0.3">
      <c r="K63">
        <v>62</v>
      </c>
      <c r="L63">
        <f t="shared" ca="1" si="1"/>
        <v>510.28212593967476</v>
      </c>
      <c r="M63">
        <f ca="1">IF(L63&lt;=0,0,10^(MultiLogRegr1stWeek!$B$17+LOG10(L63)*MultiLogRegr1stWeek!$B$18+MultiLogRegr1stWeek!$B$19*14+MultiLogRegr1stWeek!$B$20*0))</f>
        <v>231.51156358946369</v>
      </c>
      <c r="U63">
        <v>61</v>
      </c>
      <c r="V63">
        <v>356</v>
      </c>
      <c r="W63">
        <v>169</v>
      </c>
    </row>
    <row r="64" spans="1:23" x14ac:dyDescent="0.3">
      <c r="K64">
        <v>63</v>
      </c>
      <c r="L64">
        <f t="shared" ca="1" si="1"/>
        <v>640.29382941870335</v>
      </c>
      <c r="M64">
        <f ca="1">IF(L64&lt;=0,0,10^(MultiLogRegr1stWeek!$B$17+LOG10(L64)*MultiLogRegr1stWeek!$B$18+MultiLogRegr1stWeek!$B$19*14+MultiLogRegr1stWeek!$B$20*0))</f>
        <v>291.89260843950365</v>
      </c>
      <c r="U64">
        <v>62</v>
      </c>
      <c r="V64">
        <v>344</v>
      </c>
      <c r="W64">
        <v>165</v>
      </c>
    </row>
    <row r="65" spans="11:23" x14ac:dyDescent="0.3">
      <c r="K65">
        <v>64</v>
      </c>
      <c r="L65">
        <f t="shared" ca="1" si="1"/>
        <v>119.23187698541935</v>
      </c>
      <c r="M65">
        <f ca="1">IF(L65&lt;=0,0,10^(MultiLogRegr1stWeek!$B$17+LOG10(L65)*MultiLogRegr1stWeek!$B$18+MultiLogRegr1stWeek!$B$19*14+MultiLogRegr1stWeek!$B$20*0))</f>
        <v>52.45915149677321</v>
      </c>
      <c r="U65">
        <v>63</v>
      </c>
      <c r="V65">
        <v>347</v>
      </c>
      <c r="W65">
        <v>165</v>
      </c>
    </row>
    <row r="66" spans="11:23" x14ac:dyDescent="0.3">
      <c r="K66">
        <v>65</v>
      </c>
      <c r="L66">
        <f t="shared" ca="1" si="1"/>
        <v>194.40923946987465</v>
      </c>
      <c r="M66">
        <f ca="1">IF(L66&lt;=0,0,10^(MultiLogRegr1stWeek!$B$17+LOG10(L66)*MultiLogRegr1stWeek!$B$18+MultiLogRegr1stWeek!$B$19*14+MultiLogRegr1stWeek!$B$20*0))</f>
        <v>86.423006610336273</v>
      </c>
      <c r="U66">
        <v>64</v>
      </c>
      <c r="V66">
        <v>340</v>
      </c>
      <c r="W66">
        <v>162</v>
      </c>
    </row>
    <row r="67" spans="11:23" x14ac:dyDescent="0.3">
      <c r="K67">
        <v>66</v>
      </c>
      <c r="L67">
        <f t="shared" ref="L67:L130" ca="1" si="3">_xlfn.NORM.INV(RAND(),$S$3,$S$2)</f>
        <v>324.25646939087284</v>
      </c>
      <c r="M67">
        <f ca="1">IF(L67&lt;=0,0,10^(MultiLogRegr1stWeek!$B$17+LOG10(L67)*MultiLogRegr1stWeek!$B$18+MultiLogRegr1stWeek!$B$19*14+MultiLogRegr1stWeek!$B$20*0))</f>
        <v>145.71110411148445</v>
      </c>
      <c r="U67">
        <v>65</v>
      </c>
      <c r="V67">
        <v>341</v>
      </c>
      <c r="W67">
        <v>164</v>
      </c>
    </row>
    <row r="68" spans="11:23" x14ac:dyDescent="0.3">
      <c r="K68">
        <v>67</v>
      </c>
      <c r="L68">
        <f t="shared" ca="1" si="3"/>
        <v>256.36010992871348</v>
      </c>
      <c r="M68">
        <f ca="1">IF(L68&lt;=0,0,10^(MultiLogRegr1stWeek!$B$17+LOG10(L68)*MultiLogRegr1stWeek!$B$18+MultiLogRegr1stWeek!$B$19*14+MultiLogRegr1stWeek!$B$20*0))</f>
        <v>114.63038223190942</v>
      </c>
      <c r="U68">
        <v>66</v>
      </c>
      <c r="V68">
        <v>326</v>
      </c>
      <c r="W68">
        <v>157</v>
      </c>
    </row>
    <row r="69" spans="11:23" x14ac:dyDescent="0.3">
      <c r="K69">
        <v>68</v>
      </c>
      <c r="L69">
        <f t="shared" ca="1" si="3"/>
        <v>72.858471834241129</v>
      </c>
      <c r="M69">
        <f ca="1">IF(L69&lt;=0,0,10^(MultiLogRegr1stWeek!$B$17+LOG10(L69)*MultiLogRegr1stWeek!$B$18+MultiLogRegr1stWeek!$B$19*14+MultiLogRegr1stWeek!$B$20*0))</f>
        <v>31.724283407198062</v>
      </c>
      <c r="U69">
        <v>67</v>
      </c>
      <c r="V69">
        <v>337</v>
      </c>
      <c r="W69">
        <v>162</v>
      </c>
    </row>
    <row r="70" spans="11:23" x14ac:dyDescent="0.3">
      <c r="K70">
        <v>69</v>
      </c>
      <c r="L70">
        <f t="shared" ca="1" si="3"/>
        <v>75.037092341621587</v>
      </c>
      <c r="M70">
        <f ca="1">IF(L70&lt;=0,0,10^(MultiLogRegr1stWeek!$B$17+LOG10(L70)*MultiLogRegr1stWeek!$B$18+MultiLogRegr1stWeek!$B$19*14+MultiLogRegr1stWeek!$B$20*0))</f>
        <v>32.693240385720735</v>
      </c>
      <c r="U70">
        <v>68</v>
      </c>
      <c r="V70">
        <v>344</v>
      </c>
      <c r="W70">
        <v>164</v>
      </c>
    </row>
    <row r="71" spans="11:23" x14ac:dyDescent="0.3">
      <c r="K71">
        <v>70</v>
      </c>
      <c r="L71">
        <f t="shared" ca="1" si="3"/>
        <v>-443.12598819341088</v>
      </c>
      <c r="M71">
        <f ca="1">IF(L71&lt;=0,0,10^(MultiLogRegr1stWeek!$B$17+LOG10(L71)*MultiLogRegr1stWeek!$B$18+MultiLogRegr1stWeek!$B$19*14+MultiLogRegr1stWeek!$B$20*0))</f>
        <v>0</v>
      </c>
      <c r="U71">
        <v>69</v>
      </c>
      <c r="V71">
        <v>343</v>
      </c>
      <c r="W71">
        <v>163</v>
      </c>
    </row>
    <row r="72" spans="11:23" x14ac:dyDescent="0.3">
      <c r="K72">
        <v>71</v>
      </c>
      <c r="L72">
        <f t="shared" ca="1" si="3"/>
        <v>-172.14780899133484</v>
      </c>
      <c r="M72">
        <f ca="1">IF(L72&lt;=0,0,10^(MultiLogRegr1stWeek!$B$17+LOG10(L72)*MultiLogRegr1stWeek!$B$18+MultiLogRegr1stWeek!$B$19*14+MultiLogRegr1stWeek!$B$20*0))</f>
        <v>0</v>
      </c>
      <c r="U72">
        <v>70</v>
      </c>
      <c r="V72">
        <v>330</v>
      </c>
      <c r="W72">
        <v>158</v>
      </c>
    </row>
    <row r="73" spans="11:23" x14ac:dyDescent="0.3">
      <c r="K73">
        <v>72</v>
      </c>
      <c r="L73">
        <f t="shared" ca="1" si="3"/>
        <v>618.30443984638919</v>
      </c>
      <c r="M73">
        <f ca="1">IF(L73&lt;=0,0,10^(MultiLogRegr1stWeek!$B$17+LOG10(L73)*MultiLogRegr1stWeek!$B$18+MultiLogRegr1stWeek!$B$19*14+MultiLogRegr1stWeek!$B$20*0))</f>
        <v>281.66031409993798</v>
      </c>
      <c r="U73">
        <v>71</v>
      </c>
      <c r="V73">
        <v>337</v>
      </c>
      <c r="W73">
        <v>162</v>
      </c>
    </row>
    <row r="74" spans="11:23" x14ac:dyDescent="0.3">
      <c r="K74">
        <v>73</v>
      </c>
      <c r="L74">
        <f t="shared" ca="1" si="3"/>
        <v>35.831195686010119</v>
      </c>
      <c r="M74">
        <f ca="1">IF(L74&lt;=0,0,10^(MultiLogRegr1stWeek!$B$17+LOG10(L74)*MultiLogRegr1stWeek!$B$18+MultiLogRegr1stWeek!$B$19*14+MultiLogRegr1stWeek!$B$20*0))</f>
        <v>15.369668735334168</v>
      </c>
      <c r="U74">
        <v>72</v>
      </c>
      <c r="V74">
        <v>348</v>
      </c>
      <c r="W74">
        <v>165</v>
      </c>
    </row>
    <row r="75" spans="11:23" x14ac:dyDescent="0.3">
      <c r="K75">
        <v>74</v>
      </c>
      <c r="L75">
        <f t="shared" ca="1" si="3"/>
        <v>326.03513842449229</v>
      </c>
      <c r="M75">
        <f ca="1">IF(L75&lt;=0,0,10^(MultiLogRegr1stWeek!$B$17+LOG10(L75)*MultiLogRegr1stWeek!$B$18+MultiLogRegr1stWeek!$B$19*14+MultiLogRegr1stWeek!$B$20*0))</f>
        <v>146.52730980683435</v>
      </c>
      <c r="U75">
        <v>73</v>
      </c>
      <c r="V75">
        <v>329</v>
      </c>
      <c r="W75">
        <v>158</v>
      </c>
    </row>
    <row r="76" spans="11:23" x14ac:dyDescent="0.3">
      <c r="K76">
        <v>75</v>
      </c>
      <c r="L76">
        <f t="shared" ca="1" si="3"/>
        <v>418.90448058825581</v>
      </c>
      <c r="M76">
        <f ca="1">IF(L76&lt;=0,0,10^(MultiLogRegr1stWeek!$B$17+LOG10(L76)*MultiLogRegr1stWeek!$B$18+MultiLogRegr1stWeek!$B$19*14+MultiLogRegr1stWeek!$B$20*0))</f>
        <v>189.26387876432244</v>
      </c>
      <c r="U76">
        <v>74</v>
      </c>
      <c r="V76">
        <v>347</v>
      </c>
      <c r="W76">
        <v>165</v>
      </c>
    </row>
    <row r="77" spans="11:23" x14ac:dyDescent="0.3">
      <c r="K77">
        <v>76</v>
      </c>
      <c r="L77">
        <f t="shared" ca="1" si="3"/>
        <v>-25.287769206644157</v>
      </c>
      <c r="M77">
        <f ca="1">IF(L77&lt;=0,0,10^(MultiLogRegr1stWeek!$B$17+LOG10(L77)*MultiLogRegr1stWeek!$B$18+MultiLogRegr1stWeek!$B$19*14+MultiLogRegr1stWeek!$B$20*0))</f>
        <v>0</v>
      </c>
      <c r="U77">
        <v>75</v>
      </c>
      <c r="V77">
        <v>323</v>
      </c>
      <c r="W77">
        <v>154</v>
      </c>
    </row>
    <row r="78" spans="11:23" x14ac:dyDescent="0.3">
      <c r="K78">
        <v>77</v>
      </c>
      <c r="L78">
        <f t="shared" ca="1" si="3"/>
        <v>614.60918236435896</v>
      </c>
      <c r="M78">
        <f ca="1">IF(L78&lt;=0,0,10^(MultiLogRegr1stWeek!$B$17+LOG10(L78)*MultiLogRegr1stWeek!$B$18+MultiLogRegr1stWeek!$B$19*14+MultiLogRegr1stWeek!$B$20*0))</f>
        <v>279.94155143856335</v>
      </c>
      <c r="U78">
        <v>76</v>
      </c>
      <c r="V78">
        <v>344</v>
      </c>
      <c r="W78">
        <v>164</v>
      </c>
    </row>
    <row r="79" spans="11:23" x14ac:dyDescent="0.3">
      <c r="K79">
        <v>78</v>
      </c>
      <c r="L79">
        <f t="shared" ca="1" si="3"/>
        <v>381.77292718291244</v>
      </c>
      <c r="M79">
        <f ca="1">IF(L79&lt;=0,0,10^(MultiLogRegr1stWeek!$B$17+LOG10(L79)*MultiLogRegr1stWeek!$B$18+MultiLogRegr1stWeek!$B$19*14+MultiLogRegr1stWeek!$B$20*0))</f>
        <v>172.14984965597301</v>
      </c>
      <c r="U79">
        <v>77</v>
      </c>
      <c r="V79">
        <v>331</v>
      </c>
      <c r="W79">
        <v>159</v>
      </c>
    </row>
    <row r="80" spans="11:23" x14ac:dyDescent="0.3">
      <c r="K80">
        <v>79</v>
      </c>
      <c r="L80">
        <f t="shared" ca="1" si="3"/>
        <v>520.95060043555054</v>
      </c>
      <c r="M80">
        <f ca="1">IF(L80&lt;=0,0,10^(MultiLogRegr1stWeek!$B$17+LOG10(L80)*MultiLogRegr1stWeek!$B$18+MultiLogRegr1stWeek!$B$19*14+MultiLogRegr1stWeek!$B$20*0))</f>
        <v>236.4550715211162</v>
      </c>
      <c r="U80">
        <v>78</v>
      </c>
      <c r="V80">
        <v>331</v>
      </c>
      <c r="W80">
        <v>159</v>
      </c>
    </row>
    <row r="81" spans="11:23" x14ac:dyDescent="0.3">
      <c r="K81">
        <v>80</v>
      </c>
      <c r="L81">
        <f t="shared" ca="1" si="3"/>
        <v>59.040081906171736</v>
      </c>
      <c r="M81">
        <f ca="1">IF(L81&lt;=0,0,10^(MultiLogRegr1stWeek!$B$17+LOG10(L81)*MultiLogRegr1stWeek!$B$18+MultiLogRegr1stWeek!$B$19*14+MultiLogRegr1stWeek!$B$20*0))</f>
        <v>25.593522465158529</v>
      </c>
      <c r="U81">
        <v>79</v>
      </c>
      <c r="V81">
        <v>336</v>
      </c>
      <c r="W81">
        <v>161</v>
      </c>
    </row>
    <row r="82" spans="11:23" x14ac:dyDescent="0.3">
      <c r="K82">
        <v>81</v>
      </c>
      <c r="L82">
        <f t="shared" ca="1" si="3"/>
        <v>480.29940383050575</v>
      </c>
      <c r="M82">
        <f ca="1">IF(L82&lt;=0,0,10^(MultiLogRegr1stWeek!$B$17+LOG10(L82)*MultiLogRegr1stWeek!$B$18+MultiLogRegr1stWeek!$B$19*14+MultiLogRegr1stWeek!$B$20*0))</f>
        <v>217.63014255439234</v>
      </c>
      <c r="U82">
        <v>80</v>
      </c>
      <c r="V82">
        <v>326</v>
      </c>
      <c r="W82">
        <v>158</v>
      </c>
    </row>
    <row r="83" spans="11:23" x14ac:dyDescent="0.3">
      <c r="K83">
        <v>82</v>
      </c>
      <c r="L83">
        <f t="shared" ca="1" si="3"/>
        <v>-268.19081718801374</v>
      </c>
      <c r="M83">
        <f ca="1">IF(L83&lt;=0,0,10^(MultiLogRegr1stWeek!$B$17+LOG10(L83)*MultiLogRegr1stWeek!$B$18+MultiLogRegr1stWeek!$B$19*14+MultiLogRegr1stWeek!$B$20*0))</f>
        <v>0</v>
      </c>
      <c r="U83">
        <v>81</v>
      </c>
      <c r="V83">
        <v>336</v>
      </c>
      <c r="W83">
        <v>161</v>
      </c>
    </row>
    <row r="84" spans="11:23" x14ac:dyDescent="0.3">
      <c r="K84">
        <v>83</v>
      </c>
      <c r="L84">
        <f t="shared" ca="1" si="3"/>
        <v>605.7431981150138</v>
      </c>
      <c r="M84">
        <f ca="1">IF(L84&lt;=0,0,10^(MultiLogRegr1stWeek!$B$17+LOG10(L84)*MultiLogRegr1stWeek!$B$18+MultiLogRegr1stWeek!$B$19*14+MultiLogRegr1stWeek!$B$20*0))</f>
        <v>275.81863833939798</v>
      </c>
      <c r="U84">
        <v>82</v>
      </c>
      <c r="V84">
        <v>344</v>
      </c>
      <c r="W84">
        <v>164</v>
      </c>
    </row>
    <row r="85" spans="11:23" x14ac:dyDescent="0.3">
      <c r="K85">
        <v>84</v>
      </c>
      <c r="L85">
        <f t="shared" ca="1" si="3"/>
        <v>555.32964732794562</v>
      </c>
      <c r="M85">
        <f ca="1">IF(L85&lt;=0,0,10^(MultiLogRegr1stWeek!$B$17+LOG10(L85)*MultiLogRegr1stWeek!$B$18+MultiLogRegr1stWeek!$B$19*14+MultiLogRegr1stWeek!$B$20*0))</f>
        <v>252.39981315247994</v>
      </c>
      <c r="U85">
        <v>83</v>
      </c>
      <c r="V85">
        <v>348</v>
      </c>
      <c r="W85">
        <v>164</v>
      </c>
    </row>
    <row r="86" spans="11:23" x14ac:dyDescent="0.3">
      <c r="K86">
        <v>85</v>
      </c>
      <c r="L86">
        <f t="shared" ca="1" si="3"/>
        <v>-86.13592359003303</v>
      </c>
      <c r="M86">
        <f ca="1">IF(L86&lt;=0,0,10^(MultiLogRegr1stWeek!$B$17+LOG10(L86)*MultiLogRegr1stWeek!$B$18+MultiLogRegr1stWeek!$B$19*14+MultiLogRegr1stWeek!$B$20*0))</f>
        <v>0</v>
      </c>
      <c r="U86">
        <v>84</v>
      </c>
      <c r="V86">
        <v>332</v>
      </c>
      <c r="W86">
        <v>160</v>
      </c>
    </row>
    <row r="87" spans="11:23" x14ac:dyDescent="0.3">
      <c r="K87">
        <v>86</v>
      </c>
      <c r="L87">
        <f t="shared" ca="1" si="3"/>
        <v>264.10189853836715</v>
      </c>
      <c r="M87">
        <f ca="1">IF(L87&lt;=0,0,10^(MultiLogRegr1stWeek!$B$17+LOG10(L87)*MultiLogRegr1stWeek!$B$18+MultiLogRegr1stWeek!$B$19*14+MultiLogRegr1stWeek!$B$20*0))</f>
        <v>118.1663075114045</v>
      </c>
      <c r="U87">
        <v>85</v>
      </c>
      <c r="V87">
        <v>330</v>
      </c>
      <c r="W87">
        <v>157</v>
      </c>
    </row>
    <row r="88" spans="11:23" x14ac:dyDescent="0.3">
      <c r="K88">
        <v>87</v>
      </c>
      <c r="L88">
        <f t="shared" ca="1" si="3"/>
        <v>588.13479361425652</v>
      </c>
      <c r="M88">
        <f ca="1">IF(L88&lt;=0,0,10^(MultiLogRegr1stWeek!$B$17+LOG10(L88)*MultiLogRegr1stWeek!$B$18+MultiLogRegr1stWeek!$B$19*14+MultiLogRegr1stWeek!$B$20*0))</f>
        <v>267.6340688084789</v>
      </c>
      <c r="U88">
        <v>86</v>
      </c>
      <c r="V88">
        <v>339</v>
      </c>
      <c r="W88">
        <v>163</v>
      </c>
    </row>
    <row r="89" spans="11:23" x14ac:dyDescent="0.3">
      <c r="K89">
        <v>88</v>
      </c>
      <c r="L89">
        <f t="shared" ca="1" si="3"/>
        <v>424.45956473991021</v>
      </c>
      <c r="M89">
        <f ca="1">IF(L89&lt;=0,0,10^(MultiLogRegr1stWeek!$B$17+LOG10(L89)*MultiLogRegr1stWeek!$B$18+MultiLogRegr1stWeek!$B$19*14+MultiLogRegr1stWeek!$B$20*0))</f>
        <v>191.82705982138449</v>
      </c>
      <c r="U89">
        <v>87</v>
      </c>
      <c r="V89">
        <v>328</v>
      </c>
      <c r="W89">
        <v>158</v>
      </c>
    </row>
    <row r="90" spans="11:23" x14ac:dyDescent="0.3">
      <c r="K90">
        <v>89</v>
      </c>
      <c r="L90">
        <f t="shared" ca="1" si="3"/>
        <v>652.28019683850198</v>
      </c>
      <c r="M90">
        <f ca="1">IF(L90&lt;=0,0,10^(MultiLogRegr1stWeek!$B$17+LOG10(L90)*MultiLogRegr1stWeek!$B$18+MultiLogRegr1stWeek!$B$19*14+MultiLogRegr1stWeek!$B$20*0))</f>
        <v>297.47335177236062</v>
      </c>
      <c r="U90">
        <v>88</v>
      </c>
      <c r="V90">
        <v>349</v>
      </c>
      <c r="W90">
        <v>166</v>
      </c>
    </row>
    <row r="91" spans="11:23" x14ac:dyDescent="0.3">
      <c r="K91">
        <v>90</v>
      </c>
      <c r="L91">
        <f t="shared" ca="1" si="3"/>
        <v>235.01417565541135</v>
      </c>
      <c r="M91">
        <f ca="1">IF(L91&lt;=0,0,10^(MultiLogRegr1stWeek!$B$17+LOG10(L91)*MultiLogRegr1stWeek!$B$18+MultiLogRegr1stWeek!$B$19*14+MultiLogRegr1stWeek!$B$20*0))</f>
        <v>104.89289231236174</v>
      </c>
      <c r="U91">
        <v>89</v>
      </c>
      <c r="V91">
        <v>337</v>
      </c>
      <c r="W91">
        <v>161</v>
      </c>
    </row>
    <row r="92" spans="11:23" x14ac:dyDescent="0.3">
      <c r="K92">
        <v>91</v>
      </c>
      <c r="L92">
        <f t="shared" ca="1" si="3"/>
        <v>318.69156604565683</v>
      </c>
      <c r="M92">
        <f ca="1">IF(L92&lt;=0,0,10^(MultiLogRegr1stWeek!$B$17+LOG10(L92)*MultiLogRegr1stWeek!$B$18+MultiLogRegr1stWeek!$B$19*14+MultiLogRegr1stWeek!$B$20*0))</f>
        <v>143.15806276525959</v>
      </c>
      <c r="U92">
        <v>90</v>
      </c>
      <c r="V92">
        <v>351</v>
      </c>
      <c r="W92">
        <v>168</v>
      </c>
    </row>
    <row r="93" spans="11:23" x14ac:dyDescent="0.3">
      <c r="K93">
        <v>92</v>
      </c>
      <c r="L93">
        <f t="shared" ca="1" si="3"/>
        <v>458.67056925934514</v>
      </c>
      <c r="M93">
        <f ca="1">IF(L93&lt;=0,0,10^(MultiLogRegr1stWeek!$B$17+LOG10(L93)*MultiLogRegr1stWeek!$B$18+MultiLogRegr1stWeek!$B$19*14+MultiLogRegr1stWeek!$B$20*0))</f>
        <v>207.62770513270476</v>
      </c>
      <c r="U93">
        <v>91</v>
      </c>
      <c r="V93">
        <v>343</v>
      </c>
      <c r="W93">
        <v>164</v>
      </c>
    </row>
    <row r="94" spans="11:23" x14ac:dyDescent="0.3">
      <c r="K94">
        <v>93</v>
      </c>
      <c r="L94">
        <f t="shared" ca="1" si="3"/>
        <v>187.91946168653109</v>
      </c>
      <c r="M94">
        <f ca="1">IF(L94&lt;=0,0,10^(MultiLogRegr1stWeek!$B$17+LOG10(L94)*MultiLogRegr1stWeek!$B$18+MultiLogRegr1stWeek!$B$19*14+MultiLogRegr1stWeek!$B$20*0))</f>
        <v>83.478158684517012</v>
      </c>
      <c r="U94">
        <v>92</v>
      </c>
      <c r="V94">
        <v>346</v>
      </c>
      <c r="W94">
        <v>165</v>
      </c>
    </row>
    <row r="95" spans="11:23" x14ac:dyDescent="0.3">
      <c r="K95">
        <v>94</v>
      </c>
      <c r="L95">
        <f t="shared" ca="1" si="3"/>
        <v>1030.5213547795115</v>
      </c>
      <c r="M95">
        <f ca="1">IF(L95&lt;=0,0,10^(MultiLogRegr1stWeek!$B$17+LOG10(L95)*MultiLogRegr1stWeek!$B$18+MultiLogRegr1stWeek!$B$19*14+MultiLogRegr1stWeek!$B$20*0))</f>
        <v>474.53158345651275</v>
      </c>
      <c r="U95">
        <v>93</v>
      </c>
      <c r="V95">
        <v>336</v>
      </c>
      <c r="W95">
        <v>160</v>
      </c>
    </row>
    <row r="96" spans="11:23" x14ac:dyDescent="0.3">
      <c r="K96">
        <v>95</v>
      </c>
      <c r="L96">
        <f t="shared" ca="1" si="3"/>
        <v>214.8684972398502</v>
      </c>
      <c r="M96">
        <f ca="1">IF(L96&lt;=0,0,10^(MultiLogRegr1stWeek!$B$17+LOG10(L96)*MultiLogRegr1stWeek!$B$18+MultiLogRegr1stWeek!$B$19*14+MultiLogRegr1stWeek!$B$20*0))</f>
        <v>95.720037348906658</v>
      </c>
      <c r="U96">
        <v>94</v>
      </c>
      <c r="V96">
        <v>332</v>
      </c>
      <c r="W96">
        <v>161</v>
      </c>
    </row>
    <row r="97" spans="11:23" x14ac:dyDescent="0.3">
      <c r="K97">
        <v>96</v>
      </c>
      <c r="L97">
        <f t="shared" ca="1" si="3"/>
        <v>405.30077810462211</v>
      </c>
      <c r="M97">
        <f ca="1">IF(L97&lt;=0,0,10^(MultiLogRegr1stWeek!$B$17+LOG10(L97)*MultiLogRegr1stWeek!$B$18+MultiLogRegr1stWeek!$B$19*14+MultiLogRegr1stWeek!$B$20*0))</f>
        <v>182.99002073423421</v>
      </c>
      <c r="U97">
        <v>95</v>
      </c>
      <c r="V97">
        <v>349</v>
      </c>
      <c r="W97">
        <v>167</v>
      </c>
    </row>
    <row r="98" spans="11:23" x14ac:dyDescent="0.3">
      <c r="K98">
        <v>97</v>
      </c>
      <c r="L98">
        <f t="shared" ca="1" si="3"/>
        <v>953.07500888378411</v>
      </c>
      <c r="M98">
        <f ca="1">IF(L98&lt;=0,0,10^(MultiLogRegr1stWeek!$B$17+LOG10(L98)*MultiLogRegr1stWeek!$B$18+MultiLogRegr1stWeek!$B$19*14+MultiLogRegr1stWeek!$B$20*0))</f>
        <v>438.14586967134954</v>
      </c>
      <c r="U98">
        <v>96</v>
      </c>
      <c r="V98">
        <v>346</v>
      </c>
      <c r="W98">
        <v>164</v>
      </c>
    </row>
    <row r="99" spans="11:23" x14ac:dyDescent="0.3">
      <c r="K99">
        <v>98</v>
      </c>
      <c r="L99">
        <f t="shared" ca="1" si="3"/>
        <v>-272.67102927188228</v>
      </c>
      <c r="M99">
        <f ca="1">IF(L99&lt;=0,0,10^(MultiLogRegr1stWeek!$B$17+LOG10(L99)*MultiLogRegr1stWeek!$B$18+MultiLogRegr1stWeek!$B$19*14+MultiLogRegr1stWeek!$B$20*0))</f>
        <v>0</v>
      </c>
      <c r="U99">
        <v>97</v>
      </c>
      <c r="V99">
        <v>339</v>
      </c>
      <c r="W99">
        <v>163</v>
      </c>
    </row>
    <row r="100" spans="11:23" x14ac:dyDescent="0.3">
      <c r="K100">
        <v>99</v>
      </c>
      <c r="L100">
        <f t="shared" ca="1" si="3"/>
        <v>222.66311690281444</v>
      </c>
      <c r="M100">
        <f ca="1">IF(L100&lt;=0,0,10^(MultiLogRegr1stWeek!$B$17+LOG10(L100)*MultiLogRegr1stWeek!$B$18+MultiLogRegr1stWeek!$B$19*14+MultiLogRegr1stWeek!$B$20*0))</f>
        <v>99.267066751316221</v>
      </c>
      <c r="U100">
        <v>98</v>
      </c>
      <c r="V100">
        <v>354</v>
      </c>
      <c r="W100">
        <v>168</v>
      </c>
    </row>
    <row r="101" spans="11:23" x14ac:dyDescent="0.3">
      <c r="K101">
        <v>100</v>
      </c>
      <c r="L101">
        <f t="shared" ca="1" si="3"/>
        <v>259.99795306099747</v>
      </c>
      <c r="M101">
        <f ca="1">IF(L101&lt;=0,0,10^(MultiLogRegr1stWeek!$B$17+LOG10(L101)*MultiLogRegr1stWeek!$B$18+MultiLogRegr1stWeek!$B$19*14+MultiLogRegr1stWeek!$B$20*0))</f>
        <v>116.29162611330483</v>
      </c>
      <c r="U101">
        <v>99</v>
      </c>
      <c r="V101">
        <v>334</v>
      </c>
      <c r="W101">
        <v>161</v>
      </c>
    </row>
    <row r="102" spans="11:23" x14ac:dyDescent="0.3">
      <c r="K102">
        <v>101</v>
      </c>
      <c r="L102">
        <f t="shared" ca="1" si="3"/>
        <v>928.10516860082191</v>
      </c>
      <c r="M102">
        <f ca="1">IF(L102&lt;=0,0,10^(MultiLogRegr1stWeek!$B$17+LOG10(L102)*MultiLogRegr1stWeek!$B$18+MultiLogRegr1stWeek!$B$19*14+MultiLogRegr1stWeek!$B$20*0))</f>
        <v>426.42765141400776</v>
      </c>
      <c r="U102">
        <v>100</v>
      </c>
      <c r="V102">
        <v>342</v>
      </c>
      <c r="W102">
        <v>165</v>
      </c>
    </row>
    <row r="103" spans="11:23" x14ac:dyDescent="0.3">
      <c r="K103">
        <v>102</v>
      </c>
      <c r="L103">
        <f t="shared" ca="1" si="3"/>
        <v>117.35572679555239</v>
      </c>
      <c r="M103">
        <f ca="1">IF(L103&lt;=0,0,10^(MultiLogRegr1stWeek!$B$17+LOG10(L103)*MultiLogRegr1stWeek!$B$18+MultiLogRegr1stWeek!$B$19*14+MultiLogRegr1stWeek!$B$20*0))</f>
        <v>51.61640041186849</v>
      </c>
      <c r="U103">
        <v>101</v>
      </c>
      <c r="V103">
        <v>328</v>
      </c>
      <c r="W103">
        <v>158</v>
      </c>
    </row>
    <row r="104" spans="11:23" x14ac:dyDescent="0.3">
      <c r="K104">
        <v>103</v>
      </c>
      <c r="L104">
        <f t="shared" ca="1" si="3"/>
        <v>309.58833732245847</v>
      </c>
      <c r="M104">
        <f ca="1">IF(L104&lt;=0,0,10^(MultiLogRegr1stWeek!$B$17+LOG10(L104)*MultiLogRegr1stWeek!$B$18+MultiLogRegr1stWeek!$B$19*14+MultiLogRegr1stWeek!$B$20*0))</f>
        <v>138.98376112021211</v>
      </c>
      <c r="U104">
        <v>102</v>
      </c>
      <c r="V104">
        <v>347</v>
      </c>
      <c r="W104">
        <v>166</v>
      </c>
    </row>
    <row r="105" spans="11:23" x14ac:dyDescent="0.3">
      <c r="K105">
        <v>104</v>
      </c>
      <c r="L105">
        <f t="shared" ca="1" si="3"/>
        <v>715.50976239185934</v>
      </c>
      <c r="M105">
        <f ca="1">IF(L105&lt;=0,0,10^(MultiLogRegr1stWeek!$B$17+LOG10(L105)*MultiLogRegr1stWeek!$B$18+MultiLogRegr1stWeek!$B$19*14+MultiLogRegr1stWeek!$B$20*0))</f>
        <v>326.94743462208095</v>
      </c>
      <c r="U105">
        <v>103</v>
      </c>
      <c r="V105">
        <v>326</v>
      </c>
      <c r="W105">
        <v>156</v>
      </c>
    </row>
    <row r="106" spans="11:23" x14ac:dyDescent="0.3">
      <c r="K106">
        <v>105</v>
      </c>
      <c r="L106">
        <f t="shared" ca="1" si="3"/>
        <v>-118.45955692470807</v>
      </c>
      <c r="M106">
        <f ca="1">IF(L106&lt;=0,0,10^(MultiLogRegr1stWeek!$B$17+LOG10(L106)*MultiLogRegr1stWeek!$B$18+MultiLogRegr1stWeek!$B$19*14+MultiLogRegr1stWeek!$B$20*0))</f>
        <v>0</v>
      </c>
      <c r="U106">
        <v>104</v>
      </c>
      <c r="V106">
        <v>335</v>
      </c>
      <c r="W106">
        <v>161</v>
      </c>
    </row>
    <row r="107" spans="11:23" x14ac:dyDescent="0.3">
      <c r="K107">
        <v>106</v>
      </c>
      <c r="L107">
        <f t="shared" ca="1" si="3"/>
        <v>250.97656619404492</v>
      </c>
      <c r="M107">
        <f ca="1">IF(L107&lt;=0,0,10^(MultiLogRegr1stWeek!$B$17+LOG10(L107)*MultiLogRegr1stWeek!$B$18+MultiLogRegr1stWeek!$B$19*14+MultiLogRegr1stWeek!$B$20*0))</f>
        <v>112.1728685982241</v>
      </c>
      <c r="U107">
        <v>105</v>
      </c>
      <c r="V107">
        <v>335</v>
      </c>
      <c r="W107">
        <v>162</v>
      </c>
    </row>
    <row r="108" spans="11:23" x14ac:dyDescent="0.3">
      <c r="K108">
        <v>107</v>
      </c>
      <c r="L108">
        <f t="shared" ca="1" si="3"/>
        <v>100.72705506947264</v>
      </c>
      <c r="M108">
        <f ca="1">IF(L108&lt;=0,0,10^(MultiLogRegr1stWeek!$B$17+LOG10(L108)*MultiLogRegr1stWeek!$B$18+MultiLogRegr1stWeek!$B$19*14+MultiLogRegr1stWeek!$B$20*0))</f>
        <v>44.159922273963566</v>
      </c>
      <c r="U108">
        <v>106</v>
      </c>
      <c r="V108">
        <v>325</v>
      </c>
      <c r="W108">
        <v>157</v>
      </c>
    </row>
    <row r="109" spans="11:23" x14ac:dyDescent="0.3">
      <c r="K109">
        <v>108</v>
      </c>
      <c r="L109">
        <f t="shared" ca="1" si="3"/>
        <v>947.40872641473175</v>
      </c>
      <c r="M109">
        <f ca="1">IF(L109&lt;=0,0,10^(MultiLogRegr1stWeek!$B$17+LOG10(L109)*MultiLogRegr1stWeek!$B$18+MultiLogRegr1stWeek!$B$19*14+MultiLogRegr1stWeek!$B$20*0))</f>
        <v>435.4861374437441</v>
      </c>
      <c r="U109">
        <v>107</v>
      </c>
      <c r="V109">
        <v>326</v>
      </c>
      <c r="W109">
        <v>157</v>
      </c>
    </row>
    <row r="110" spans="11:23" x14ac:dyDescent="0.3">
      <c r="K110">
        <v>109</v>
      </c>
      <c r="L110">
        <f t="shared" ca="1" si="3"/>
        <v>489.52988515548293</v>
      </c>
      <c r="M110">
        <f ca="1">IF(L110&lt;=0,0,10^(MultiLogRegr1stWeek!$B$17+LOG10(L110)*MultiLogRegr1stWeek!$B$18+MultiLogRegr1stWeek!$B$19*14+MultiLogRegr1stWeek!$B$20*0))</f>
        <v>221.90177901223549</v>
      </c>
      <c r="U110">
        <v>108</v>
      </c>
      <c r="V110">
        <v>345</v>
      </c>
      <c r="W110">
        <v>165</v>
      </c>
    </row>
    <row r="111" spans="11:23" x14ac:dyDescent="0.3">
      <c r="K111">
        <v>110</v>
      </c>
      <c r="L111">
        <f t="shared" ca="1" si="3"/>
        <v>614.12880262502949</v>
      </c>
      <c r="M111">
        <f ca="1">IF(L111&lt;=0,0,10^(MultiLogRegr1stWeek!$B$17+LOG10(L111)*MultiLogRegr1stWeek!$B$18+MultiLogRegr1stWeek!$B$19*14+MultiLogRegr1stWeek!$B$20*0))</f>
        <v>279.71813002861984</v>
      </c>
      <c r="U111">
        <v>109</v>
      </c>
      <c r="V111">
        <v>334</v>
      </c>
      <c r="W111">
        <v>161</v>
      </c>
    </row>
    <row r="112" spans="11:23" x14ac:dyDescent="0.3">
      <c r="K112">
        <v>111</v>
      </c>
      <c r="L112">
        <f t="shared" ca="1" si="3"/>
        <v>340.99035711415218</v>
      </c>
      <c r="M112">
        <f ca="1">IF(L112&lt;=0,0,10^(MultiLogRegr1stWeek!$B$17+LOG10(L112)*MultiLogRegr1stWeek!$B$18+MultiLogRegr1stWeek!$B$19*14+MultiLogRegr1stWeek!$B$20*0))</f>
        <v>153.39371631664301</v>
      </c>
      <c r="U112">
        <v>110</v>
      </c>
      <c r="V112">
        <v>335</v>
      </c>
      <c r="W112">
        <v>160</v>
      </c>
    </row>
    <row r="113" spans="11:23" x14ac:dyDescent="0.3">
      <c r="K113">
        <v>112</v>
      </c>
      <c r="L113">
        <f t="shared" ca="1" si="3"/>
        <v>26.894694019441602</v>
      </c>
      <c r="M113">
        <f ca="1">IF(L113&lt;=0,0,10^(MultiLogRegr1stWeek!$B$17+LOG10(L113)*MultiLogRegr1stWeek!$B$18+MultiLogRegr1stWeek!$B$19*14+MultiLogRegr1stWeek!$B$20*0))</f>
        <v>11.466708912418726</v>
      </c>
      <c r="U113">
        <v>111</v>
      </c>
      <c r="V113">
        <v>341</v>
      </c>
      <c r="W113">
        <v>164</v>
      </c>
    </row>
    <row r="114" spans="11:23" x14ac:dyDescent="0.3">
      <c r="K114">
        <v>113</v>
      </c>
      <c r="L114">
        <f t="shared" ca="1" si="3"/>
        <v>908.16239483919526</v>
      </c>
      <c r="M114">
        <f ca="1">IF(L114&lt;=0,0,10^(MultiLogRegr1stWeek!$B$17+LOG10(L114)*MultiLogRegr1stWeek!$B$18+MultiLogRegr1stWeek!$B$19*14+MultiLogRegr1stWeek!$B$20*0))</f>
        <v>417.07338229327962</v>
      </c>
      <c r="U114">
        <v>112</v>
      </c>
      <c r="V114">
        <v>336</v>
      </c>
      <c r="W114">
        <v>161</v>
      </c>
    </row>
    <row r="115" spans="11:23" x14ac:dyDescent="0.3">
      <c r="K115">
        <v>114</v>
      </c>
      <c r="L115">
        <f t="shared" ca="1" si="3"/>
        <v>649.30609327425259</v>
      </c>
      <c r="M115">
        <f ca="1">IF(L115&lt;=0,0,10^(MultiLogRegr1stWeek!$B$17+LOG10(L115)*MultiLogRegr1stWeek!$B$18+MultiLogRegr1stWeek!$B$19*14+MultiLogRegr1stWeek!$B$20*0))</f>
        <v>296.08843271400474</v>
      </c>
      <c r="U115">
        <v>113</v>
      </c>
      <c r="V115">
        <v>340</v>
      </c>
      <c r="W115">
        <v>162</v>
      </c>
    </row>
    <row r="116" spans="11:23" x14ac:dyDescent="0.3">
      <c r="K116">
        <v>115</v>
      </c>
      <c r="L116">
        <f t="shared" ca="1" si="3"/>
        <v>532.1034850486202</v>
      </c>
      <c r="M116">
        <f ca="1">IF(L116&lt;=0,0,10^(MultiLogRegr1stWeek!$B$17+LOG10(L116)*MultiLogRegr1stWeek!$B$18+MultiLogRegr1stWeek!$B$19*14+MultiLogRegr1stWeek!$B$20*0))</f>
        <v>241.62532872263824</v>
      </c>
      <c r="U116">
        <v>114</v>
      </c>
      <c r="V116">
        <v>317</v>
      </c>
      <c r="W116">
        <v>154</v>
      </c>
    </row>
    <row r="117" spans="11:23" x14ac:dyDescent="0.3">
      <c r="K117">
        <v>116</v>
      </c>
      <c r="L117">
        <f t="shared" ca="1" si="3"/>
        <v>-33.135784245248942</v>
      </c>
      <c r="M117">
        <f ca="1">IF(L117&lt;=0,0,10^(MultiLogRegr1stWeek!$B$17+LOG10(L117)*MultiLogRegr1stWeek!$B$18+MultiLogRegr1stWeek!$B$19*14+MultiLogRegr1stWeek!$B$20*0))</f>
        <v>0</v>
      </c>
      <c r="U117">
        <v>115</v>
      </c>
      <c r="V117">
        <v>335</v>
      </c>
      <c r="W117">
        <v>160</v>
      </c>
    </row>
    <row r="118" spans="11:23" x14ac:dyDescent="0.3">
      <c r="K118">
        <v>117</v>
      </c>
      <c r="L118">
        <f t="shared" ca="1" si="3"/>
        <v>-133.70301841356917</v>
      </c>
      <c r="M118">
        <f ca="1">IF(L118&lt;=0,0,10^(MultiLogRegr1stWeek!$B$17+LOG10(L118)*MultiLogRegr1stWeek!$B$18+MultiLogRegr1stWeek!$B$19*14+MultiLogRegr1stWeek!$B$20*0))</f>
        <v>0</v>
      </c>
      <c r="U118">
        <v>116</v>
      </c>
      <c r="V118">
        <v>341</v>
      </c>
      <c r="W118">
        <v>162</v>
      </c>
    </row>
    <row r="119" spans="11:23" x14ac:dyDescent="0.3">
      <c r="K119">
        <v>118</v>
      </c>
      <c r="L119">
        <f t="shared" ca="1" si="3"/>
        <v>317.95066708729632</v>
      </c>
      <c r="M119">
        <f ca="1">IF(L119&lt;=0,0,10^(MultiLogRegr1stWeek!$B$17+LOG10(L119)*MultiLogRegr1stWeek!$B$18+MultiLogRegr1stWeek!$B$19*14+MultiLogRegr1stWeek!$B$20*0))</f>
        <v>142.81822712119873</v>
      </c>
      <c r="U119">
        <v>117</v>
      </c>
      <c r="V119">
        <v>336</v>
      </c>
      <c r="W119">
        <v>159</v>
      </c>
    </row>
    <row r="120" spans="11:23" x14ac:dyDescent="0.3">
      <c r="K120">
        <v>119</v>
      </c>
      <c r="L120">
        <f t="shared" ca="1" si="3"/>
        <v>409.80890897823156</v>
      </c>
      <c r="M120">
        <f ca="1">IF(L120&lt;=0,0,10^(MultiLogRegr1stWeek!$B$17+LOG10(L120)*MultiLogRegr1stWeek!$B$18+MultiLogRegr1stWeek!$B$19*14+MultiLogRegr1stWeek!$B$20*0))</f>
        <v>185.06862909941472</v>
      </c>
      <c r="U120">
        <v>118</v>
      </c>
      <c r="V120">
        <v>340</v>
      </c>
      <c r="W120">
        <v>162</v>
      </c>
    </row>
    <row r="121" spans="11:23" x14ac:dyDescent="0.3">
      <c r="K121">
        <v>120</v>
      </c>
      <c r="L121">
        <f t="shared" ca="1" si="3"/>
        <v>370.1759429528388</v>
      </c>
      <c r="M121">
        <f ca="1">IF(L121&lt;=0,0,10^(MultiLogRegr1stWeek!$B$17+LOG10(L121)*MultiLogRegr1stWeek!$B$18+MultiLogRegr1stWeek!$B$19*14+MultiLogRegr1stWeek!$B$20*0))</f>
        <v>166.81181680466361</v>
      </c>
      <c r="U121">
        <v>119</v>
      </c>
      <c r="V121">
        <v>332</v>
      </c>
      <c r="W121">
        <v>159</v>
      </c>
    </row>
    <row r="122" spans="11:23" x14ac:dyDescent="0.3">
      <c r="K122">
        <v>121</v>
      </c>
      <c r="L122">
        <f t="shared" ca="1" si="3"/>
        <v>334.54921991258351</v>
      </c>
      <c r="M122">
        <f ca="1">IF(L122&lt;=0,0,10^(MultiLogRegr1stWeek!$B$17+LOG10(L122)*MultiLogRegr1stWeek!$B$18+MultiLogRegr1stWeek!$B$19*14+MultiLogRegr1stWeek!$B$20*0))</f>
        <v>150.43559331917419</v>
      </c>
      <c r="U122">
        <v>120</v>
      </c>
      <c r="V122">
        <v>358</v>
      </c>
      <c r="W122">
        <v>170</v>
      </c>
    </row>
    <row r="123" spans="11:23" x14ac:dyDescent="0.3">
      <c r="K123">
        <v>122</v>
      </c>
      <c r="L123">
        <f t="shared" ca="1" si="3"/>
        <v>559.09495468654279</v>
      </c>
      <c r="M123">
        <f ca="1">IF(L123&lt;=0,0,10^(MultiLogRegr1stWeek!$B$17+LOG10(L123)*MultiLogRegr1stWeek!$B$18+MultiLogRegr1stWeek!$B$19*14+MultiLogRegr1stWeek!$B$20*0))</f>
        <v>254.14742505357563</v>
      </c>
      <c r="U123">
        <v>121</v>
      </c>
      <c r="V123">
        <v>334</v>
      </c>
      <c r="W123">
        <v>160</v>
      </c>
    </row>
    <row r="124" spans="11:23" x14ac:dyDescent="0.3">
      <c r="K124">
        <v>123</v>
      </c>
      <c r="L124">
        <f t="shared" ca="1" si="3"/>
        <v>67.136842066597922</v>
      </c>
      <c r="M124">
        <f ca="1">IF(L124&lt;=0,0,10^(MultiLogRegr1stWeek!$B$17+LOG10(L124)*MultiLogRegr1stWeek!$B$18+MultiLogRegr1stWeek!$B$19*14+MultiLogRegr1stWeek!$B$20*0))</f>
        <v>29.182508853236861</v>
      </c>
      <c r="U124">
        <v>122</v>
      </c>
      <c r="V124">
        <v>337</v>
      </c>
      <c r="W124">
        <v>162</v>
      </c>
    </row>
    <row r="125" spans="11:23" x14ac:dyDescent="0.3">
      <c r="K125">
        <v>124</v>
      </c>
      <c r="L125">
        <f t="shared" ca="1" si="3"/>
        <v>918.82587259822435</v>
      </c>
      <c r="M125">
        <f ca="1">IF(L125&lt;=0,0,10^(MultiLogRegr1stWeek!$B$17+LOG10(L125)*MultiLogRegr1stWeek!$B$18+MultiLogRegr1stWeek!$B$19*14+MultiLogRegr1stWeek!$B$20*0))</f>
        <v>422.07461231842893</v>
      </c>
      <c r="U125">
        <v>123</v>
      </c>
      <c r="V125">
        <v>324</v>
      </c>
      <c r="W125">
        <v>157</v>
      </c>
    </row>
    <row r="126" spans="11:23" x14ac:dyDescent="0.3">
      <c r="K126">
        <v>125</v>
      </c>
      <c r="L126">
        <f t="shared" ca="1" si="3"/>
        <v>242.4722577971238</v>
      </c>
      <c r="M126">
        <f ca="1">IF(L126&lt;=0,0,10^(MultiLogRegr1stWeek!$B$17+LOG10(L126)*MultiLogRegr1stWeek!$B$18+MultiLogRegr1stWeek!$B$19*14+MultiLogRegr1stWeek!$B$20*0))</f>
        <v>108.29304596814653</v>
      </c>
      <c r="U126">
        <v>124</v>
      </c>
      <c r="V126">
        <v>334</v>
      </c>
      <c r="W126">
        <v>160</v>
      </c>
    </row>
    <row r="127" spans="11:23" x14ac:dyDescent="0.3">
      <c r="K127">
        <v>126</v>
      </c>
      <c r="L127">
        <f t="shared" ca="1" si="3"/>
        <v>338.17700253927308</v>
      </c>
      <c r="M127">
        <f ca="1">IF(L127&lt;=0,0,10^(MultiLogRegr1stWeek!$B$17+LOG10(L127)*MultiLogRegr1stWeek!$B$18+MultiLogRegr1stWeek!$B$19*14+MultiLogRegr1stWeek!$B$20*0))</f>
        <v>152.10152333887658</v>
      </c>
      <c r="U127">
        <v>125</v>
      </c>
      <c r="V127">
        <v>343</v>
      </c>
      <c r="W127">
        <v>162</v>
      </c>
    </row>
    <row r="128" spans="11:23" x14ac:dyDescent="0.3">
      <c r="K128">
        <v>127</v>
      </c>
      <c r="L128">
        <f t="shared" ca="1" si="3"/>
        <v>474.30684298957988</v>
      </c>
      <c r="M128">
        <f ca="1">IF(L128&lt;=0,0,10^(MultiLogRegr1stWeek!$B$17+LOG10(L128)*MultiLogRegr1stWeek!$B$18+MultiLogRegr1stWeek!$B$19*14+MultiLogRegr1stWeek!$B$20*0))</f>
        <v>214.85786076671081</v>
      </c>
      <c r="U128">
        <v>126</v>
      </c>
      <c r="V128">
        <v>334</v>
      </c>
      <c r="W128">
        <v>159</v>
      </c>
    </row>
    <row r="129" spans="11:23" x14ac:dyDescent="0.3">
      <c r="K129">
        <v>128</v>
      </c>
      <c r="L129">
        <f t="shared" ca="1" si="3"/>
        <v>749.49546248477509</v>
      </c>
      <c r="M129">
        <f ca="1">IF(L129&lt;=0,0,10^(MultiLogRegr1stWeek!$B$17+LOG10(L129)*MultiLogRegr1stWeek!$B$18+MultiLogRegr1stWeek!$B$19*14+MultiLogRegr1stWeek!$B$20*0))</f>
        <v>342.81273909889421</v>
      </c>
      <c r="U129">
        <v>127</v>
      </c>
      <c r="V129">
        <v>336</v>
      </c>
      <c r="W129">
        <v>160</v>
      </c>
    </row>
    <row r="130" spans="11:23" x14ac:dyDescent="0.3">
      <c r="K130">
        <v>129</v>
      </c>
      <c r="L130">
        <f t="shared" ca="1" si="3"/>
        <v>660.79746796040035</v>
      </c>
      <c r="M130">
        <f ca="1">IF(L130&lt;=0,0,10^(MultiLogRegr1stWeek!$B$17+LOG10(L130)*MultiLogRegr1stWeek!$B$18+MultiLogRegr1stWeek!$B$19*14+MultiLogRegr1stWeek!$B$20*0))</f>
        <v>301.44023423770091</v>
      </c>
      <c r="U130">
        <v>128</v>
      </c>
      <c r="V130">
        <v>333</v>
      </c>
      <c r="W130">
        <v>160</v>
      </c>
    </row>
    <row r="131" spans="11:23" x14ac:dyDescent="0.3">
      <c r="K131">
        <v>130</v>
      </c>
      <c r="L131">
        <f t="shared" ref="L131:L194" ca="1" si="4">_xlfn.NORM.INV(RAND(),$S$3,$S$2)</f>
        <v>653.3745356213368</v>
      </c>
      <c r="M131">
        <f ca="1">IF(L131&lt;=0,0,10^(MultiLogRegr1stWeek!$B$17+LOG10(L131)*MultiLogRegr1stWeek!$B$18+MultiLogRegr1stWeek!$B$19*14+MultiLogRegr1stWeek!$B$20*0))</f>
        <v>297.98297442366658</v>
      </c>
      <c r="U131">
        <v>129</v>
      </c>
      <c r="V131">
        <v>351</v>
      </c>
      <c r="W131">
        <v>166</v>
      </c>
    </row>
    <row r="132" spans="11:23" x14ac:dyDescent="0.3">
      <c r="K132">
        <v>131</v>
      </c>
      <c r="L132">
        <f t="shared" ca="1" si="4"/>
        <v>211.28301621070688</v>
      </c>
      <c r="M132">
        <f ca="1">IF(L132&lt;=0,0,10^(MultiLogRegr1stWeek!$B$17+LOG10(L132)*MultiLogRegr1stWeek!$B$18+MultiLogRegr1stWeek!$B$19*14+MultiLogRegr1stWeek!$B$20*0))</f>
        <v>94.089330223694432</v>
      </c>
      <c r="U132">
        <v>130</v>
      </c>
      <c r="V132">
        <v>353</v>
      </c>
      <c r="W132">
        <v>169</v>
      </c>
    </row>
    <row r="133" spans="11:23" x14ac:dyDescent="0.3">
      <c r="K133">
        <v>132</v>
      </c>
      <c r="L133">
        <f t="shared" ca="1" si="4"/>
        <v>-199.17865903601717</v>
      </c>
      <c r="M133">
        <f ca="1">IF(L133&lt;=0,0,10^(MultiLogRegr1stWeek!$B$17+LOG10(L133)*MultiLogRegr1stWeek!$B$18+MultiLogRegr1stWeek!$B$19*14+MultiLogRegr1stWeek!$B$20*0))</f>
        <v>0</v>
      </c>
      <c r="U133">
        <v>131</v>
      </c>
      <c r="V133">
        <v>329</v>
      </c>
      <c r="W133">
        <v>157</v>
      </c>
    </row>
    <row r="134" spans="11:23" x14ac:dyDescent="0.3">
      <c r="K134">
        <v>133</v>
      </c>
      <c r="L134">
        <f t="shared" ca="1" si="4"/>
        <v>507.44250273362906</v>
      </c>
      <c r="M134">
        <f ca="1">IF(L134&lt;=0,0,10^(MultiLogRegr1stWeek!$B$17+LOG10(L134)*MultiLogRegr1stWeek!$B$18+MultiLogRegr1stWeek!$B$19*14+MultiLogRegr1stWeek!$B$20*0))</f>
        <v>230.19611810486174</v>
      </c>
      <c r="U134">
        <v>132</v>
      </c>
      <c r="V134">
        <v>337</v>
      </c>
      <c r="W134">
        <v>162</v>
      </c>
    </row>
    <row r="135" spans="11:23" x14ac:dyDescent="0.3">
      <c r="K135">
        <v>134</v>
      </c>
      <c r="L135">
        <f t="shared" ca="1" si="4"/>
        <v>592.42760917470946</v>
      </c>
      <c r="M135">
        <f ca="1">IF(L135&lt;=0,0,10^(MultiLogRegr1stWeek!$B$17+LOG10(L135)*MultiLogRegr1stWeek!$B$18+MultiLogRegr1stWeek!$B$19*14+MultiLogRegr1stWeek!$B$20*0))</f>
        <v>269.6289430021979</v>
      </c>
      <c r="U135">
        <v>133</v>
      </c>
      <c r="V135">
        <v>330</v>
      </c>
      <c r="W135">
        <v>160</v>
      </c>
    </row>
    <row r="136" spans="11:23" x14ac:dyDescent="0.3">
      <c r="K136">
        <v>135</v>
      </c>
      <c r="L136">
        <f t="shared" ca="1" si="4"/>
        <v>652.27629180031659</v>
      </c>
      <c r="M136">
        <f ca="1">IF(L136&lt;=0,0,10^(MultiLogRegr1stWeek!$B$17+LOG10(L136)*MultiLogRegr1stWeek!$B$18+MultiLogRegr1stWeek!$B$19*14+MultiLogRegr1stWeek!$B$20*0))</f>
        <v>297.47153326735418</v>
      </c>
      <c r="U136">
        <v>134</v>
      </c>
      <c r="V136">
        <v>357</v>
      </c>
      <c r="W136">
        <v>169</v>
      </c>
    </row>
    <row r="137" spans="11:23" x14ac:dyDescent="0.3">
      <c r="K137">
        <v>136</v>
      </c>
      <c r="L137">
        <f t="shared" ca="1" si="4"/>
        <v>721.80315789296617</v>
      </c>
      <c r="M137">
        <f ca="1">IF(L137&lt;=0,0,10^(MultiLogRegr1stWeek!$B$17+LOG10(L137)*MultiLogRegr1stWeek!$B$18+MultiLogRegr1stWeek!$B$19*14+MultiLogRegr1stWeek!$B$20*0))</f>
        <v>329.8841575965385</v>
      </c>
      <c r="U137">
        <v>135</v>
      </c>
      <c r="V137">
        <v>328</v>
      </c>
      <c r="W137">
        <v>156</v>
      </c>
    </row>
    <row r="138" spans="11:23" x14ac:dyDescent="0.3">
      <c r="K138">
        <v>137</v>
      </c>
      <c r="L138">
        <f t="shared" ca="1" si="4"/>
        <v>365.90946089219909</v>
      </c>
      <c r="M138">
        <f ca="1">IF(L138&lt;=0,0,10^(MultiLogRegr1stWeek!$B$17+LOG10(L138)*MultiLogRegr1stWeek!$B$18+MultiLogRegr1stWeek!$B$19*14+MultiLogRegr1stWeek!$B$20*0))</f>
        <v>164.84885945986895</v>
      </c>
      <c r="U138">
        <v>136</v>
      </c>
      <c r="V138">
        <v>347</v>
      </c>
      <c r="W138">
        <v>166</v>
      </c>
    </row>
    <row r="139" spans="11:23" x14ac:dyDescent="0.3">
      <c r="K139">
        <v>138</v>
      </c>
      <c r="L139">
        <f t="shared" ca="1" si="4"/>
        <v>566.96601637212029</v>
      </c>
      <c r="M139">
        <f ca="1">IF(L139&lt;=0,0,10^(MultiLogRegr1stWeek!$B$17+LOG10(L139)*MultiLogRegr1stWeek!$B$18+MultiLogRegr1stWeek!$B$19*14+MultiLogRegr1stWeek!$B$20*0))</f>
        <v>257.80146324614969</v>
      </c>
      <c r="U139">
        <v>137</v>
      </c>
      <c r="V139">
        <v>334</v>
      </c>
      <c r="W139">
        <v>159</v>
      </c>
    </row>
    <row r="140" spans="11:23" x14ac:dyDescent="0.3">
      <c r="K140">
        <v>139</v>
      </c>
      <c r="L140">
        <f t="shared" ca="1" si="4"/>
        <v>569.06009316291897</v>
      </c>
      <c r="M140">
        <f ca="1">IF(L140&lt;=0,0,10^(MultiLogRegr1stWeek!$B$17+LOG10(L140)*MultiLogRegr1stWeek!$B$18+MultiLogRegr1stWeek!$B$19*14+MultiLogRegr1stWeek!$B$20*0))</f>
        <v>258.77379224595688</v>
      </c>
      <c r="U140">
        <v>138</v>
      </c>
      <c r="V140">
        <v>339</v>
      </c>
      <c r="W140">
        <v>163</v>
      </c>
    </row>
    <row r="141" spans="11:23" x14ac:dyDescent="0.3">
      <c r="K141">
        <v>140</v>
      </c>
      <c r="L141">
        <f t="shared" ca="1" si="4"/>
        <v>602.1336189871023</v>
      </c>
      <c r="M141">
        <f ca="1">IF(L141&lt;=0,0,10^(MultiLogRegr1stWeek!$B$17+LOG10(L141)*MultiLogRegr1stWeek!$B$18+MultiLogRegr1stWeek!$B$19*14+MultiLogRegr1stWeek!$B$20*0))</f>
        <v>274.1404541603672</v>
      </c>
      <c r="U141">
        <v>139</v>
      </c>
      <c r="V141">
        <v>320</v>
      </c>
      <c r="W141">
        <v>155</v>
      </c>
    </row>
    <row r="142" spans="11:23" x14ac:dyDescent="0.3">
      <c r="K142">
        <v>141</v>
      </c>
      <c r="L142">
        <f t="shared" ca="1" si="4"/>
        <v>417.9419456974523</v>
      </c>
      <c r="M142">
        <f ca="1">IF(L142&lt;=0,0,10^(MultiLogRegr1stWeek!$B$17+LOG10(L142)*MultiLogRegr1stWeek!$B$18+MultiLogRegr1stWeek!$B$19*14+MultiLogRegr1stWeek!$B$20*0))</f>
        <v>188.81982655226764</v>
      </c>
      <c r="U142">
        <v>140</v>
      </c>
      <c r="V142">
        <v>330</v>
      </c>
      <c r="W142">
        <v>158</v>
      </c>
    </row>
    <row r="143" spans="11:23" x14ac:dyDescent="0.3">
      <c r="K143">
        <v>142</v>
      </c>
      <c r="L143">
        <f t="shared" ca="1" si="4"/>
        <v>435.72171909109761</v>
      </c>
      <c r="M143">
        <f ca="1">IF(L143&lt;=0,0,10^(MultiLogRegr1stWeek!$B$17+LOG10(L143)*MultiLogRegr1stWeek!$B$18+MultiLogRegr1stWeek!$B$19*14+MultiLogRegr1stWeek!$B$20*0))</f>
        <v>197.0257148516194</v>
      </c>
      <c r="U143">
        <v>141</v>
      </c>
      <c r="V143">
        <v>348</v>
      </c>
      <c r="W143">
        <v>165</v>
      </c>
    </row>
    <row r="144" spans="11:23" x14ac:dyDescent="0.3">
      <c r="K144">
        <v>143</v>
      </c>
      <c r="L144">
        <f t="shared" ca="1" si="4"/>
        <v>227.19730183009312</v>
      </c>
      <c r="M144">
        <f ca="1">IF(L144&lt;=0,0,10^(MultiLogRegr1stWeek!$B$17+LOG10(L144)*MultiLogRegr1stWeek!$B$18+MultiLogRegr1stWeek!$B$19*14+MultiLogRegr1stWeek!$B$20*0))</f>
        <v>101.33161128298543</v>
      </c>
      <c r="U144">
        <v>142</v>
      </c>
      <c r="V144">
        <v>332</v>
      </c>
      <c r="W144">
        <v>160</v>
      </c>
    </row>
    <row r="145" spans="11:23" x14ac:dyDescent="0.3">
      <c r="K145">
        <v>144</v>
      </c>
      <c r="L145">
        <f t="shared" ca="1" si="4"/>
        <v>799.99563191309255</v>
      </c>
      <c r="M145">
        <f ca="1">IF(L145&lt;=0,0,10^(MultiLogRegr1stWeek!$B$17+LOG10(L145)*MultiLogRegr1stWeek!$B$18+MultiLogRegr1stWeek!$B$19*14+MultiLogRegr1stWeek!$B$20*0))</f>
        <v>366.41526215604671</v>
      </c>
      <c r="U145">
        <v>143</v>
      </c>
      <c r="V145">
        <v>337</v>
      </c>
      <c r="W145">
        <v>160</v>
      </c>
    </row>
    <row r="146" spans="11:23" x14ac:dyDescent="0.3">
      <c r="K146">
        <v>145</v>
      </c>
      <c r="L146">
        <f t="shared" ca="1" si="4"/>
        <v>107.74048416431046</v>
      </c>
      <c r="M146">
        <f ca="1">IF(L146&lt;=0,0,10^(MultiLogRegr1stWeek!$B$17+LOG10(L146)*MultiLogRegr1stWeek!$B$18+MultiLogRegr1stWeek!$B$19*14+MultiLogRegr1stWeek!$B$20*0))</f>
        <v>47.301878231177319</v>
      </c>
      <c r="U146">
        <v>144</v>
      </c>
      <c r="V146">
        <v>339</v>
      </c>
      <c r="W146">
        <v>163</v>
      </c>
    </row>
    <row r="147" spans="11:23" x14ac:dyDescent="0.3">
      <c r="K147">
        <v>146</v>
      </c>
      <c r="L147">
        <f t="shared" ca="1" si="4"/>
        <v>1129.6596923122552</v>
      </c>
      <c r="M147">
        <f ca="1">IF(L147&lt;=0,0,10^(MultiLogRegr1stWeek!$B$17+LOG10(L147)*MultiLogRegr1stWeek!$B$18+MultiLogRegr1stWeek!$B$19*14+MultiLogRegr1stWeek!$B$20*0))</f>
        <v>521.19245249666756</v>
      </c>
      <c r="U147">
        <v>145</v>
      </c>
      <c r="V147">
        <v>325</v>
      </c>
      <c r="W147">
        <v>157</v>
      </c>
    </row>
    <row r="148" spans="11:23" x14ac:dyDescent="0.3">
      <c r="K148">
        <v>147</v>
      </c>
      <c r="L148">
        <f t="shared" ca="1" si="4"/>
        <v>140.93645374398631</v>
      </c>
      <c r="M148">
        <f ca="1">IF(L148&lt;=0,0,10^(MultiLogRegr1stWeek!$B$17+LOG10(L148)*MultiLogRegr1stWeek!$B$18+MultiLogRegr1stWeek!$B$19*14+MultiLogRegr1stWeek!$B$20*0))</f>
        <v>62.228014637131395</v>
      </c>
      <c r="U148">
        <v>146</v>
      </c>
      <c r="V148">
        <v>337</v>
      </c>
      <c r="W148">
        <v>163</v>
      </c>
    </row>
    <row r="149" spans="11:23" x14ac:dyDescent="0.3">
      <c r="K149">
        <v>148</v>
      </c>
      <c r="L149">
        <f t="shared" ca="1" si="4"/>
        <v>807.49449609338592</v>
      </c>
      <c r="M149">
        <f ca="1">IF(L149&lt;=0,0,10^(MultiLogRegr1stWeek!$B$17+LOG10(L149)*MultiLogRegr1stWeek!$B$18+MultiLogRegr1stWeek!$B$19*14+MultiLogRegr1stWeek!$B$20*0))</f>
        <v>369.92277803854347</v>
      </c>
      <c r="U149">
        <v>147</v>
      </c>
      <c r="V149">
        <v>336</v>
      </c>
      <c r="W149">
        <v>159</v>
      </c>
    </row>
    <row r="150" spans="11:23" x14ac:dyDescent="0.3">
      <c r="K150">
        <v>149</v>
      </c>
      <c r="L150">
        <f t="shared" ca="1" si="4"/>
        <v>101.21954791686719</v>
      </c>
      <c r="M150">
        <f ca="1">IF(L150&lt;=0,0,10^(MultiLogRegr1stWeek!$B$17+LOG10(L150)*MultiLogRegr1stWeek!$B$18+MultiLogRegr1stWeek!$B$19*14+MultiLogRegr1stWeek!$B$20*0))</f>
        <v>44.380407678046062</v>
      </c>
      <c r="U150">
        <v>148</v>
      </c>
      <c r="V150">
        <v>349</v>
      </c>
      <c r="W150">
        <v>168</v>
      </c>
    </row>
    <row r="151" spans="11:23" x14ac:dyDescent="0.3">
      <c r="K151">
        <v>150</v>
      </c>
      <c r="L151">
        <f t="shared" ca="1" si="4"/>
        <v>202.58709567588747</v>
      </c>
      <c r="M151">
        <f ca="1">IF(L151&lt;=0,0,10^(MultiLogRegr1stWeek!$B$17+LOG10(L151)*MultiLogRegr1stWeek!$B$18+MultiLogRegr1stWeek!$B$19*14+MultiLogRegr1stWeek!$B$20*0))</f>
        <v>90.136798481791132</v>
      </c>
      <c r="U151">
        <v>149</v>
      </c>
      <c r="V151">
        <v>343</v>
      </c>
      <c r="W151">
        <v>162</v>
      </c>
    </row>
    <row r="152" spans="11:23" x14ac:dyDescent="0.3">
      <c r="K152">
        <v>151</v>
      </c>
      <c r="L152">
        <f t="shared" ca="1" si="4"/>
        <v>1060.0256602451</v>
      </c>
      <c r="M152">
        <f ca="1">IF(L152&lt;=0,0,10^(MultiLogRegr1stWeek!$B$17+LOG10(L152)*MultiLogRegr1stWeek!$B$18+MultiLogRegr1stWeek!$B$19*14+MultiLogRegr1stWeek!$B$20*0))</f>
        <v>488.408690790609</v>
      </c>
      <c r="U152">
        <v>150</v>
      </c>
      <c r="V152">
        <v>326</v>
      </c>
      <c r="W152">
        <v>158</v>
      </c>
    </row>
    <row r="153" spans="11:23" x14ac:dyDescent="0.3">
      <c r="K153">
        <v>152</v>
      </c>
      <c r="L153">
        <f t="shared" ca="1" si="4"/>
        <v>207.26381625447507</v>
      </c>
      <c r="M153">
        <f ca="1">IF(L153&lt;=0,0,10^(MultiLogRegr1stWeek!$B$17+LOG10(L153)*MultiLogRegr1stWeek!$B$18+MultiLogRegr1stWeek!$B$19*14+MultiLogRegr1stWeek!$B$20*0))</f>
        <v>92.262059109617951</v>
      </c>
      <c r="U153">
        <v>151</v>
      </c>
      <c r="V153">
        <v>333</v>
      </c>
      <c r="W153">
        <v>160</v>
      </c>
    </row>
    <row r="154" spans="11:23" x14ac:dyDescent="0.3">
      <c r="K154">
        <v>153</v>
      </c>
      <c r="L154">
        <f t="shared" ca="1" si="4"/>
        <v>400.33338228826852</v>
      </c>
      <c r="M154">
        <f ca="1">IF(L154&lt;=0,0,10^(MultiLogRegr1stWeek!$B$17+LOG10(L154)*MultiLogRegr1stWeek!$B$18+MultiLogRegr1stWeek!$B$19*14+MultiLogRegr1stWeek!$B$20*0))</f>
        <v>180.70022006946937</v>
      </c>
      <c r="U154">
        <v>152</v>
      </c>
      <c r="V154">
        <v>350</v>
      </c>
      <c r="W154">
        <v>168</v>
      </c>
    </row>
    <row r="155" spans="11:23" x14ac:dyDescent="0.3">
      <c r="K155">
        <v>154</v>
      </c>
      <c r="L155">
        <f t="shared" ca="1" si="4"/>
        <v>-89.242311214442964</v>
      </c>
      <c r="M155">
        <f ca="1">IF(L155&lt;=0,0,10^(MultiLogRegr1stWeek!$B$17+LOG10(L155)*MultiLogRegr1stWeek!$B$18+MultiLogRegr1stWeek!$B$19*14+MultiLogRegr1stWeek!$B$20*0))</f>
        <v>0</v>
      </c>
      <c r="U155">
        <v>153</v>
      </c>
      <c r="V155">
        <v>340</v>
      </c>
      <c r="W155">
        <v>163</v>
      </c>
    </row>
    <row r="156" spans="11:23" x14ac:dyDescent="0.3">
      <c r="K156">
        <v>155</v>
      </c>
      <c r="L156">
        <f t="shared" ca="1" si="4"/>
        <v>780.06352709189946</v>
      </c>
      <c r="M156">
        <f ca="1">IF(L156&lt;=0,0,10^(MultiLogRegr1stWeek!$B$17+LOG10(L156)*MultiLogRegr1stWeek!$B$18+MultiLogRegr1stWeek!$B$19*14+MultiLogRegr1stWeek!$B$20*0))</f>
        <v>357.09561931856365</v>
      </c>
      <c r="U156">
        <v>154</v>
      </c>
      <c r="V156">
        <v>331</v>
      </c>
      <c r="W156">
        <v>161</v>
      </c>
    </row>
    <row r="157" spans="11:23" x14ac:dyDescent="0.3">
      <c r="K157">
        <v>156</v>
      </c>
      <c r="L157">
        <f t="shared" ca="1" si="4"/>
        <v>135.58282566217221</v>
      </c>
      <c r="M157">
        <f ca="1">IF(L157&lt;=0,0,10^(MultiLogRegr1stWeek!$B$17+LOG10(L157)*MultiLogRegr1stWeek!$B$18+MultiLogRegr1stWeek!$B$19*14+MultiLogRegr1stWeek!$B$20*0))</f>
        <v>59.815278914878128</v>
      </c>
      <c r="U157">
        <v>155</v>
      </c>
      <c r="V157">
        <v>352</v>
      </c>
      <c r="W157">
        <v>167</v>
      </c>
    </row>
    <row r="158" spans="11:23" x14ac:dyDescent="0.3">
      <c r="K158">
        <v>157</v>
      </c>
      <c r="L158">
        <f t="shared" ca="1" si="4"/>
        <v>-107.987117417744</v>
      </c>
      <c r="M158">
        <f ca="1">IF(L158&lt;=0,0,10^(MultiLogRegr1stWeek!$B$17+LOG10(L158)*MultiLogRegr1stWeek!$B$18+MultiLogRegr1stWeek!$B$19*14+MultiLogRegr1stWeek!$B$20*0))</f>
        <v>0</v>
      </c>
      <c r="U158">
        <v>156</v>
      </c>
      <c r="V158">
        <v>331</v>
      </c>
      <c r="W158">
        <v>159</v>
      </c>
    </row>
    <row r="159" spans="11:23" x14ac:dyDescent="0.3">
      <c r="K159">
        <v>158</v>
      </c>
      <c r="L159">
        <f t="shared" ca="1" si="4"/>
        <v>737.21232955151231</v>
      </c>
      <c r="M159">
        <f ca="1">IF(L159&lt;=0,0,10^(MultiLogRegr1stWeek!$B$17+LOG10(L159)*MultiLogRegr1stWeek!$B$18+MultiLogRegr1stWeek!$B$19*14+MultiLogRegr1stWeek!$B$20*0))</f>
        <v>337.07690071068509</v>
      </c>
      <c r="U159">
        <v>157</v>
      </c>
      <c r="V159">
        <v>345</v>
      </c>
      <c r="W159">
        <v>163</v>
      </c>
    </row>
    <row r="160" spans="11:23" x14ac:dyDescent="0.3">
      <c r="K160">
        <v>159</v>
      </c>
      <c r="L160">
        <f t="shared" ca="1" si="4"/>
        <v>129.31853181026585</v>
      </c>
      <c r="M160">
        <f ca="1">IF(L160&lt;=0,0,10^(MultiLogRegr1stWeek!$B$17+LOG10(L160)*MultiLogRegr1stWeek!$B$18+MultiLogRegr1stWeek!$B$19*14+MultiLogRegr1stWeek!$B$20*0))</f>
        <v>56.994690213070534</v>
      </c>
      <c r="U160">
        <v>158</v>
      </c>
      <c r="V160">
        <v>338</v>
      </c>
      <c r="W160">
        <v>163</v>
      </c>
    </row>
    <row r="161" spans="11:23" x14ac:dyDescent="0.3">
      <c r="K161">
        <v>160</v>
      </c>
      <c r="L161">
        <f t="shared" ca="1" si="4"/>
        <v>372.2243901937627</v>
      </c>
      <c r="M161">
        <f ca="1">IF(L161&lt;=0,0,10^(MultiLogRegr1stWeek!$B$17+LOG10(L161)*MultiLogRegr1stWeek!$B$18+MultiLogRegr1stWeek!$B$19*14+MultiLogRegr1stWeek!$B$20*0))</f>
        <v>167.75445297922852</v>
      </c>
      <c r="U161">
        <v>159</v>
      </c>
      <c r="V161">
        <v>330</v>
      </c>
      <c r="W161">
        <v>158</v>
      </c>
    </row>
    <row r="162" spans="11:23" x14ac:dyDescent="0.3">
      <c r="K162">
        <v>161</v>
      </c>
      <c r="L162">
        <f t="shared" ca="1" si="4"/>
        <v>363.31132175903247</v>
      </c>
      <c r="M162">
        <f ca="1">IF(L162&lt;=0,0,10^(MultiLogRegr1stWeek!$B$17+LOG10(L162)*MultiLogRegr1stWeek!$B$18+MultiLogRegr1stWeek!$B$19*14+MultiLogRegr1stWeek!$B$20*0))</f>
        <v>163.65372313416159</v>
      </c>
      <c r="U162">
        <v>160</v>
      </c>
      <c r="V162">
        <v>357</v>
      </c>
      <c r="W162">
        <v>169</v>
      </c>
    </row>
    <row r="163" spans="11:23" x14ac:dyDescent="0.3">
      <c r="K163">
        <v>162</v>
      </c>
      <c r="L163">
        <f t="shared" ca="1" si="4"/>
        <v>592.53539333443484</v>
      </c>
      <c r="M163">
        <f ca="1">IF(L163&lt;=0,0,10^(MultiLogRegr1stWeek!$B$17+LOG10(L163)*MultiLogRegr1stWeek!$B$18+MultiLogRegr1stWeek!$B$19*14+MultiLogRegr1stWeek!$B$20*0))</f>
        <v>269.67903430924542</v>
      </c>
      <c r="U163">
        <v>161</v>
      </c>
      <c r="V163">
        <v>324</v>
      </c>
      <c r="W163">
        <v>156</v>
      </c>
    </row>
    <row r="164" spans="11:23" x14ac:dyDescent="0.3">
      <c r="K164">
        <v>163</v>
      </c>
      <c r="L164">
        <f t="shared" ca="1" si="4"/>
        <v>67.658877436930027</v>
      </c>
      <c r="M164">
        <f ca="1">IF(L164&lt;=0,0,10^(MultiLogRegr1stWeek!$B$17+LOG10(L164)*MultiLogRegr1stWeek!$B$18+MultiLogRegr1stWeek!$B$19*14+MultiLogRegr1stWeek!$B$20*0))</f>
        <v>29.414233687156745</v>
      </c>
      <c r="U164">
        <v>162</v>
      </c>
      <c r="V164">
        <v>328</v>
      </c>
      <c r="W164">
        <v>159</v>
      </c>
    </row>
    <row r="165" spans="11:23" x14ac:dyDescent="0.3">
      <c r="K165">
        <v>164</v>
      </c>
      <c r="L165">
        <f t="shared" ca="1" si="4"/>
        <v>404.67171963502955</v>
      </c>
      <c r="M165">
        <f ca="1">IF(L165&lt;=0,0,10^(MultiLogRegr1stWeek!$B$17+LOG10(L165)*MultiLogRegr1stWeek!$B$18+MultiLogRegr1stWeek!$B$19*14+MultiLogRegr1stWeek!$B$20*0))</f>
        <v>182.7000132322577</v>
      </c>
      <c r="U165">
        <v>163</v>
      </c>
      <c r="V165">
        <v>350</v>
      </c>
      <c r="W165">
        <v>168</v>
      </c>
    </row>
    <row r="166" spans="11:23" x14ac:dyDescent="0.3">
      <c r="K166">
        <v>165</v>
      </c>
      <c r="L166">
        <f t="shared" ca="1" si="4"/>
        <v>181.70029195191768</v>
      </c>
      <c r="M166">
        <f ca="1">IF(L166&lt;=0,0,10^(MultiLogRegr1stWeek!$B$17+LOG10(L166)*MultiLogRegr1stWeek!$B$18+MultiLogRegr1stWeek!$B$19*14+MultiLogRegr1stWeek!$B$20*0))</f>
        <v>80.658117609638268</v>
      </c>
      <c r="U166">
        <v>164</v>
      </c>
      <c r="V166">
        <v>323</v>
      </c>
      <c r="W166">
        <v>155</v>
      </c>
    </row>
    <row r="167" spans="11:23" x14ac:dyDescent="0.3">
      <c r="K167">
        <v>166</v>
      </c>
      <c r="L167">
        <f t="shared" ca="1" si="4"/>
        <v>474.66998985724945</v>
      </c>
      <c r="M167">
        <f ca="1">IF(L167&lt;=0,0,10^(MultiLogRegr1stWeek!$B$17+LOG10(L167)*MultiLogRegr1stWeek!$B$18+MultiLogRegr1stWeek!$B$19*14+MultiLogRegr1stWeek!$B$20*0))</f>
        <v>215.02583901170937</v>
      </c>
      <c r="U167">
        <v>165</v>
      </c>
      <c r="V167">
        <v>342</v>
      </c>
      <c r="W167">
        <v>163</v>
      </c>
    </row>
    <row r="168" spans="11:23" x14ac:dyDescent="0.3">
      <c r="K168">
        <v>167</v>
      </c>
      <c r="L168">
        <f t="shared" ca="1" si="4"/>
        <v>-196.16023481380682</v>
      </c>
      <c r="M168">
        <f ca="1">IF(L168&lt;=0,0,10^(MultiLogRegr1stWeek!$B$17+LOG10(L168)*MultiLogRegr1stWeek!$B$18+MultiLogRegr1stWeek!$B$19*14+MultiLogRegr1stWeek!$B$20*0))</f>
        <v>0</v>
      </c>
      <c r="U168">
        <v>166</v>
      </c>
      <c r="V168">
        <v>316</v>
      </c>
      <c r="W168">
        <v>154</v>
      </c>
    </row>
    <row r="169" spans="11:23" x14ac:dyDescent="0.3">
      <c r="K169">
        <v>168</v>
      </c>
      <c r="L169">
        <f t="shared" ca="1" si="4"/>
        <v>477.50486931558373</v>
      </c>
      <c r="M169">
        <f ca="1">IF(L169&lt;=0,0,10^(MultiLogRegr1stWeek!$B$17+LOG10(L169)*MultiLogRegr1stWeek!$B$18+MultiLogRegr1stWeek!$B$19*14+MultiLogRegr1stWeek!$B$20*0))</f>
        <v>216.33724201702432</v>
      </c>
      <c r="U169">
        <v>167</v>
      </c>
      <c r="V169">
        <v>335</v>
      </c>
      <c r="W169">
        <v>160</v>
      </c>
    </row>
    <row r="170" spans="11:23" x14ac:dyDescent="0.3">
      <c r="K170">
        <v>169</v>
      </c>
      <c r="L170">
        <f t="shared" ca="1" si="4"/>
        <v>245.24420449554069</v>
      </c>
      <c r="M170">
        <f ca="1">IF(L170&lt;=0,0,10^(MultiLogRegr1stWeek!$B$17+LOG10(L170)*MultiLogRegr1stWeek!$B$18+MultiLogRegr1stWeek!$B$19*14+MultiLogRegr1stWeek!$B$20*0))</f>
        <v>109.55734842300082</v>
      </c>
      <c r="U170">
        <v>168</v>
      </c>
      <c r="V170">
        <v>350</v>
      </c>
      <c r="W170">
        <v>166</v>
      </c>
    </row>
    <row r="171" spans="11:23" x14ac:dyDescent="0.3">
      <c r="K171">
        <v>170</v>
      </c>
      <c r="L171">
        <f t="shared" ca="1" si="4"/>
        <v>-29.472995737435781</v>
      </c>
      <c r="M171">
        <f ca="1">IF(L171&lt;=0,0,10^(MultiLogRegr1stWeek!$B$17+LOG10(L171)*MultiLogRegr1stWeek!$B$18+MultiLogRegr1stWeek!$B$19*14+MultiLogRegr1stWeek!$B$20*0))</f>
        <v>0</v>
      </c>
      <c r="U171">
        <v>169</v>
      </c>
      <c r="V171">
        <v>329</v>
      </c>
      <c r="W171">
        <v>158</v>
      </c>
    </row>
    <row r="172" spans="11:23" x14ac:dyDescent="0.3">
      <c r="K172">
        <v>171</v>
      </c>
      <c r="L172">
        <f t="shared" ca="1" si="4"/>
        <v>410.43568262239779</v>
      </c>
      <c r="M172">
        <f ca="1">IF(L172&lt;=0,0,10^(MultiLogRegr1stWeek!$B$17+LOG10(L172)*MultiLogRegr1stWeek!$B$18+MultiLogRegr1stWeek!$B$19*14+MultiLogRegr1stWeek!$B$20*0))</f>
        <v>185.35766016119766</v>
      </c>
      <c r="U172">
        <v>170</v>
      </c>
      <c r="V172">
        <v>337</v>
      </c>
      <c r="W172">
        <v>162</v>
      </c>
    </row>
    <row r="173" spans="11:23" x14ac:dyDescent="0.3">
      <c r="K173">
        <v>172</v>
      </c>
      <c r="L173">
        <f t="shared" ca="1" si="4"/>
        <v>274.45430119378153</v>
      </c>
      <c r="M173">
        <f ca="1">IF(L173&lt;=0,0,10^(MultiLogRegr1stWeek!$B$17+LOG10(L173)*MultiLogRegr1stWeek!$B$18+MultiLogRegr1stWeek!$B$19*14+MultiLogRegr1stWeek!$B$20*0))</f>
        <v>122.8979957013086</v>
      </c>
      <c r="U173">
        <v>171</v>
      </c>
      <c r="V173">
        <v>326</v>
      </c>
      <c r="W173">
        <v>156</v>
      </c>
    </row>
    <row r="174" spans="11:23" x14ac:dyDescent="0.3">
      <c r="K174">
        <v>173</v>
      </c>
      <c r="L174">
        <f t="shared" ca="1" si="4"/>
        <v>358.37115414278361</v>
      </c>
      <c r="M174">
        <f ca="1">IF(L174&lt;=0,0,10^(MultiLogRegr1stWeek!$B$17+LOG10(L174)*MultiLogRegr1stWeek!$B$18+MultiLogRegr1stWeek!$B$19*14+MultiLogRegr1stWeek!$B$20*0))</f>
        <v>161.38175948304118</v>
      </c>
      <c r="U174">
        <v>172</v>
      </c>
      <c r="V174">
        <v>346</v>
      </c>
      <c r="W174">
        <v>164</v>
      </c>
    </row>
    <row r="175" spans="11:23" x14ac:dyDescent="0.3">
      <c r="K175">
        <v>174</v>
      </c>
      <c r="L175">
        <f t="shared" ca="1" si="4"/>
        <v>354.94589519150571</v>
      </c>
      <c r="M175">
        <f ca="1">IF(L175&lt;=0,0,10^(MultiLogRegr1stWeek!$B$17+LOG10(L175)*MultiLogRegr1stWeek!$B$18+MultiLogRegr1stWeek!$B$19*14+MultiLogRegr1stWeek!$B$20*0))</f>
        <v>159.80688402777605</v>
      </c>
      <c r="U175">
        <v>173</v>
      </c>
      <c r="V175">
        <v>333</v>
      </c>
      <c r="W175">
        <v>160</v>
      </c>
    </row>
    <row r="176" spans="11:23" x14ac:dyDescent="0.3">
      <c r="K176">
        <v>175</v>
      </c>
      <c r="L176">
        <f t="shared" ca="1" si="4"/>
        <v>756.68249247529798</v>
      </c>
      <c r="M176">
        <f ca="1">IF(L176&lt;=0,0,10^(MultiLogRegr1stWeek!$B$17+LOG10(L176)*MultiLogRegr1stWeek!$B$18+MultiLogRegr1stWeek!$B$19*14+MultiLogRegr1stWeek!$B$20*0))</f>
        <v>346.16977976974965</v>
      </c>
      <c r="U176">
        <v>174</v>
      </c>
      <c r="V176">
        <v>343</v>
      </c>
      <c r="W176">
        <v>164</v>
      </c>
    </row>
    <row r="177" spans="11:23" x14ac:dyDescent="0.3">
      <c r="K177">
        <v>176</v>
      </c>
      <c r="L177">
        <f t="shared" ca="1" si="4"/>
        <v>359.27575996086443</v>
      </c>
      <c r="M177">
        <f ca="1">IF(L177&lt;=0,0,10^(MultiLogRegr1stWeek!$B$17+LOG10(L177)*MultiLogRegr1stWeek!$B$18+MultiLogRegr1stWeek!$B$19*14+MultiLogRegr1stWeek!$B$20*0))</f>
        <v>161.7977349448104</v>
      </c>
      <c r="U177">
        <v>175</v>
      </c>
      <c r="V177">
        <v>335</v>
      </c>
      <c r="W177">
        <v>160</v>
      </c>
    </row>
    <row r="178" spans="11:23" x14ac:dyDescent="0.3">
      <c r="K178">
        <v>177</v>
      </c>
      <c r="L178">
        <f t="shared" ca="1" si="4"/>
        <v>428.28385331260711</v>
      </c>
      <c r="M178">
        <f ca="1">IF(L178&lt;=0,0,10^(MultiLogRegr1stWeek!$B$17+LOG10(L178)*MultiLogRegr1stWeek!$B$18+MultiLogRegr1stWeek!$B$19*14+MultiLogRegr1stWeek!$B$20*0))</f>
        <v>193.59204378072138</v>
      </c>
      <c r="U178">
        <v>176</v>
      </c>
      <c r="V178">
        <v>335</v>
      </c>
      <c r="W178">
        <v>161</v>
      </c>
    </row>
    <row r="179" spans="11:23" x14ac:dyDescent="0.3">
      <c r="K179">
        <v>178</v>
      </c>
      <c r="L179">
        <f t="shared" ca="1" si="4"/>
        <v>455.69270718497751</v>
      </c>
      <c r="M179">
        <f ca="1">IF(L179&lt;=0,0,10^(MultiLogRegr1stWeek!$B$17+LOG10(L179)*MultiLogRegr1stWeek!$B$18+MultiLogRegr1stWeek!$B$19*14+MultiLogRegr1stWeek!$B$20*0))</f>
        <v>206.25133720629185</v>
      </c>
      <c r="U179">
        <v>177</v>
      </c>
      <c r="V179">
        <v>345</v>
      </c>
      <c r="W179">
        <v>165</v>
      </c>
    </row>
    <row r="180" spans="11:23" x14ac:dyDescent="0.3">
      <c r="K180">
        <v>179</v>
      </c>
      <c r="L180">
        <f t="shared" ca="1" si="4"/>
        <v>-227.15953688724426</v>
      </c>
      <c r="M180">
        <f ca="1">IF(L180&lt;=0,0,10^(MultiLogRegr1stWeek!$B$17+LOG10(L180)*MultiLogRegr1stWeek!$B$18+MultiLogRegr1stWeek!$B$19*14+MultiLogRegr1stWeek!$B$20*0))</f>
        <v>0</v>
      </c>
      <c r="U180">
        <v>178</v>
      </c>
      <c r="V180">
        <v>348</v>
      </c>
      <c r="W180">
        <v>166</v>
      </c>
    </row>
    <row r="181" spans="11:23" x14ac:dyDescent="0.3">
      <c r="K181">
        <v>180</v>
      </c>
      <c r="L181">
        <f t="shared" ca="1" si="4"/>
        <v>315.66640425353762</v>
      </c>
      <c r="M181">
        <f ca="1">IF(L181&lt;=0,0,10^(MultiLogRegr1stWeek!$B$17+LOG10(L181)*MultiLogRegr1stWeek!$B$18+MultiLogRegr1stWeek!$B$19*14+MultiLogRegr1stWeek!$B$20*0))</f>
        <v>141.7705865252295</v>
      </c>
      <c r="U181">
        <v>179</v>
      </c>
      <c r="V181">
        <v>337</v>
      </c>
      <c r="W181">
        <v>161</v>
      </c>
    </row>
    <row r="182" spans="11:23" x14ac:dyDescent="0.3">
      <c r="K182">
        <v>181</v>
      </c>
      <c r="L182">
        <f t="shared" ca="1" si="4"/>
        <v>152.73807528615745</v>
      </c>
      <c r="M182">
        <f ca="1">IF(L182&lt;=0,0,10^(MultiLogRegr1stWeek!$B$17+LOG10(L182)*MultiLogRegr1stWeek!$B$18+MultiLogRegr1stWeek!$B$19*14+MultiLogRegr1stWeek!$B$20*0))</f>
        <v>67.553428839426289</v>
      </c>
      <c r="U182">
        <v>180</v>
      </c>
      <c r="V182">
        <v>334</v>
      </c>
      <c r="W182">
        <v>161</v>
      </c>
    </row>
    <row r="183" spans="11:23" x14ac:dyDescent="0.3">
      <c r="K183">
        <v>182</v>
      </c>
      <c r="L183">
        <f t="shared" ca="1" si="4"/>
        <v>-14.567858551358313</v>
      </c>
      <c r="M183">
        <f ca="1">IF(L183&lt;=0,0,10^(MultiLogRegr1stWeek!$B$17+LOG10(L183)*MultiLogRegr1stWeek!$B$18+MultiLogRegr1stWeek!$B$19*14+MultiLogRegr1stWeek!$B$20*0))</f>
        <v>0</v>
      </c>
      <c r="U183">
        <v>181</v>
      </c>
      <c r="V183">
        <v>346</v>
      </c>
      <c r="W183">
        <v>164</v>
      </c>
    </row>
    <row r="184" spans="11:23" x14ac:dyDescent="0.3">
      <c r="K184">
        <v>183</v>
      </c>
      <c r="L184">
        <f t="shared" ca="1" si="4"/>
        <v>475.65549923742719</v>
      </c>
      <c r="M184">
        <f ca="1">IF(L184&lt;=0,0,10^(MultiLogRegr1stWeek!$B$17+LOG10(L184)*MultiLogRegr1stWeek!$B$18+MultiLogRegr1stWeek!$B$19*14+MultiLogRegr1stWeek!$B$20*0))</f>
        <v>215.48171269508168</v>
      </c>
      <c r="U184">
        <v>182</v>
      </c>
      <c r="V184">
        <v>353</v>
      </c>
      <c r="W184">
        <v>167</v>
      </c>
    </row>
    <row r="185" spans="11:23" x14ac:dyDescent="0.3">
      <c r="K185">
        <v>184</v>
      </c>
      <c r="L185">
        <f t="shared" ca="1" si="4"/>
        <v>-337.46004722802547</v>
      </c>
      <c r="M185">
        <f ca="1">IF(L185&lt;=0,0,10^(MultiLogRegr1stWeek!$B$17+LOG10(L185)*MultiLogRegr1stWeek!$B$18+MultiLogRegr1stWeek!$B$19*14+MultiLogRegr1stWeek!$B$20*0))</f>
        <v>0</v>
      </c>
      <c r="U185">
        <v>183</v>
      </c>
      <c r="V185">
        <v>347</v>
      </c>
      <c r="W185">
        <v>166</v>
      </c>
    </row>
    <row r="186" spans="11:23" x14ac:dyDescent="0.3">
      <c r="K186">
        <v>185</v>
      </c>
      <c r="L186">
        <f t="shared" ca="1" si="4"/>
        <v>-139.40581174132012</v>
      </c>
      <c r="M186">
        <f ca="1">IF(L186&lt;=0,0,10^(MultiLogRegr1stWeek!$B$17+LOG10(L186)*MultiLogRegr1stWeek!$B$18+MultiLogRegr1stWeek!$B$19*14+MultiLogRegr1stWeek!$B$20*0))</f>
        <v>0</v>
      </c>
      <c r="U186">
        <v>184</v>
      </c>
      <c r="V186">
        <v>344</v>
      </c>
      <c r="W186">
        <v>165</v>
      </c>
    </row>
    <row r="187" spans="11:23" x14ac:dyDescent="0.3">
      <c r="K187">
        <v>186</v>
      </c>
      <c r="L187">
        <f t="shared" ca="1" si="4"/>
        <v>-663.57131671798538</v>
      </c>
      <c r="M187">
        <f ca="1">IF(L187&lt;=0,0,10^(MultiLogRegr1stWeek!$B$17+LOG10(L187)*MultiLogRegr1stWeek!$B$18+MultiLogRegr1stWeek!$B$19*14+MultiLogRegr1stWeek!$B$20*0))</f>
        <v>0</v>
      </c>
      <c r="U187">
        <v>185</v>
      </c>
      <c r="V187">
        <v>333</v>
      </c>
      <c r="W187">
        <v>160</v>
      </c>
    </row>
    <row r="188" spans="11:23" x14ac:dyDescent="0.3">
      <c r="K188">
        <v>187</v>
      </c>
      <c r="L188">
        <f t="shared" ca="1" si="4"/>
        <v>352.4355039566247</v>
      </c>
      <c r="M188">
        <f ca="1">IF(L188&lt;=0,0,10^(MultiLogRegr1stWeek!$B$17+LOG10(L188)*MultiLogRegr1stWeek!$B$18+MultiLogRegr1stWeek!$B$19*14+MultiLogRegr1stWeek!$B$20*0))</f>
        <v>158.65285270049517</v>
      </c>
      <c r="U188">
        <v>186</v>
      </c>
      <c r="V188">
        <v>334</v>
      </c>
      <c r="W188">
        <v>161</v>
      </c>
    </row>
    <row r="189" spans="11:23" x14ac:dyDescent="0.3">
      <c r="K189">
        <v>188</v>
      </c>
      <c r="L189">
        <f t="shared" ca="1" si="4"/>
        <v>19.12004624756446</v>
      </c>
      <c r="M189">
        <f ca="1">IF(L189&lt;=0,0,10^(MultiLogRegr1stWeek!$B$17+LOG10(L189)*MultiLogRegr1stWeek!$B$18+MultiLogRegr1stWeek!$B$19*14+MultiLogRegr1stWeek!$B$20*0))</f>
        <v>8.0934203732227488</v>
      </c>
      <c r="U189">
        <v>187</v>
      </c>
      <c r="V189">
        <v>343</v>
      </c>
      <c r="W189">
        <v>164</v>
      </c>
    </row>
    <row r="190" spans="11:23" x14ac:dyDescent="0.3">
      <c r="K190">
        <v>189</v>
      </c>
      <c r="L190">
        <f t="shared" ca="1" si="4"/>
        <v>390.95214917808863</v>
      </c>
      <c r="M190">
        <f ca="1">IF(L190&lt;=0,0,10^(MultiLogRegr1stWeek!$B$17+LOG10(L190)*MultiLogRegr1stWeek!$B$18+MultiLogRegr1stWeek!$B$19*14+MultiLogRegr1stWeek!$B$20*0))</f>
        <v>176.37743267939524</v>
      </c>
      <c r="U190">
        <v>188</v>
      </c>
      <c r="V190">
        <v>340</v>
      </c>
      <c r="W190">
        <v>163</v>
      </c>
    </row>
    <row r="191" spans="11:23" x14ac:dyDescent="0.3">
      <c r="K191">
        <v>190</v>
      </c>
      <c r="L191">
        <f t="shared" ca="1" si="4"/>
        <v>157.28070662855004</v>
      </c>
      <c r="M191">
        <f ca="1">IF(L191&lt;=0,0,10^(MultiLogRegr1stWeek!$B$17+LOG10(L191)*MultiLogRegr1stWeek!$B$18+MultiLogRegr1stWeek!$B$19*14+MultiLogRegr1stWeek!$B$20*0))</f>
        <v>69.605620878817717</v>
      </c>
      <c r="U191">
        <v>189</v>
      </c>
      <c r="V191">
        <v>341</v>
      </c>
      <c r="W191">
        <v>162</v>
      </c>
    </row>
    <row r="192" spans="11:23" x14ac:dyDescent="0.3">
      <c r="K192">
        <v>191</v>
      </c>
      <c r="L192">
        <f t="shared" ca="1" si="4"/>
        <v>984.67673522570237</v>
      </c>
      <c r="M192">
        <f ca="1">IF(L192&lt;=0,0,10^(MultiLogRegr1stWeek!$B$17+LOG10(L192)*MultiLogRegr1stWeek!$B$18+MultiLogRegr1stWeek!$B$19*14+MultiLogRegr1stWeek!$B$20*0))</f>
        <v>452.9856754105806</v>
      </c>
      <c r="U192">
        <v>190</v>
      </c>
      <c r="V192">
        <v>332</v>
      </c>
      <c r="W192">
        <v>159</v>
      </c>
    </row>
    <row r="193" spans="11:23" x14ac:dyDescent="0.3">
      <c r="K193">
        <v>192</v>
      </c>
      <c r="L193">
        <f t="shared" ca="1" si="4"/>
        <v>628.95514160321977</v>
      </c>
      <c r="M193">
        <f ca="1">IF(L193&lt;=0,0,10^(MultiLogRegr1stWeek!$B$17+LOG10(L193)*MultiLogRegr1stWeek!$B$18+MultiLogRegr1stWeek!$B$19*14+MultiLogRegr1stWeek!$B$20*0))</f>
        <v>286.61544837760124</v>
      </c>
      <c r="U193">
        <v>191</v>
      </c>
      <c r="V193">
        <v>340</v>
      </c>
      <c r="W193">
        <v>163</v>
      </c>
    </row>
    <row r="194" spans="11:23" x14ac:dyDescent="0.3">
      <c r="K194">
        <v>193</v>
      </c>
      <c r="L194">
        <f t="shared" ca="1" si="4"/>
        <v>-365.20496497678744</v>
      </c>
      <c r="M194">
        <f ca="1">IF(L194&lt;=0,0,10^(MultiLogRegr1stWeek!$B$17+LOG10(L194)*MultiLogRegr1stWeek!$B$18+MultiLogRegr1stWeek!$B$19*14+MultiLogRegr1stWeek!$B$20*0))</f>
        <v>0</v>
      </c>
      <c r="U194">
        <v>192</v>
      </c>
      <c r="V194">
        <v>316</v>
      </c>
      <c r="W194">
        <v>154</v>
      </c>
    </row>
    <row r="195" spans="11:23" x14ac:dyDescent="0.3">
      <c r="K195">
        <v>194</v>
      </c>
      <c r="L195">
        <f t="shared" ref="L195:L258" ca="1" si="5">_xlfn.NORM.INV(RAND(),$S$3,$S$2)</f>
        <v>-107.34139455584386</v>
      </c>
      <c r="M195">
        <f ca="1">IF(L195&lt;=0,0,10^(MultiLogRegr1stWeek!$B$17+LOG10(L195)*MultiLogRegr1stWeek!$B$18+MultiLogRegr1stWeek!$B$19*14+MultiLogRegr1stWeek!$B$20*0))</f>
        <v>0</v>
      </c>
      <c r="U195">
        <v>193</v>
      </c>
      <c r="V195">
        <v>336</v>
      </c>
      <c r="W195">
        <v>161</v>
      </c>
    </row>
    <row r="196" spans="11:23" x14ac:dyDescent="0.3">
      <c r="K196">
        <v>195</v>
      </c>
      <c r="L196">
        <f t="shared" ca="1" si="5"/>
        <v>76.841175017467208</v>
      </c>
      <c r="M196">
        <f ca="1">IF(L196&lt;=0,0,10^(MultiLogRegr1stWeek!$B$17+LOG10(L196)*MultiLogRegr1stWeek!$B$18+MultiLogRegr1stWeek!$B$19*14+MultiLogRegr1stWeek!$B$20*0))</f>
        <v>33.49606957461333</v>
      </c>
      <c r="U196">
        <v>194</v>
      </c>
      <c r="V196">
        <v>338</v>
      </c>
      <c r="W196">
        <v>163</v>
      </c>
    </row>
    <row r="197" spans="11:23" x14ac:dyDescent="0.3">
      <c r="K197">
        <v>196</v>
      </c>
      <c r="L197">
        <f t="shared" ca="1" si="5"/>
        <v>616.03226198898165</v>
      </c>
      <c r="M197">
        <f ca="1">IF(L197&lt;=0,0,10^(MultiLogRegr1stWeek!$B$17+LOG10(L197)*MultiLogRegr1stWeek!$B$18+MultiLogRegr1stWeek!$B$19*14+MultiLogRegr1stWeek!$B$20*0))</f>
        <v>280.60343790404346</v>
      </c>
      <c r="U197">
        <v>195</v>
      </c>
      <c r="V197">
        <v>325</v>
      </c>
      <c r="W197">
        <v>157</v>
      </c>
    </row>
    <row r="198" spans="11:23" x14ac:dyDescent="0.3">
      <c r="K198">
        <v>197</v>
      </c>
      <c r="L198">
        <f t="shared" ca="1" si="5"/>
        <v>625.6592536404977</v>
      </c>
      <c r="M198">
        <f ca="1">IF(L198&lt;=0,0,10^(MultiLogRegr1stWeek!$B$17+LOG10(L198)*MultiLogRegr1stWeek!$B$18+MultiLogRegr1stWeek!$B$19*14+MultiLogRegr1stWeek!$B$20*0))</f>
        <v>285.08187817031364</v>
      </c>
      <c r="U198">
        <v>196</v>
      </c>
      <c r="V198">
        <v>359</v>
      </c>
      <c r="W198">
        <v>169</v>
      </c>
    </row>
    <row r="199" spans="11:23" x14ac:dyDescent="0.3">
      <c r="K199">
        <v>198</v>
      </c>
      <c r="L199">
        <f t="shared" ca="1" si="5"/>
        <v>539.09789616141245</v>
      </c>
      <c r="M199">
        <f ca="1">IF(L199&lt;=0,0,10^(MultiLogRegr1stWeek!$B$17+LOG10(L199)*MultiLogRegr1stWeek!$B$18+MultiLogRegr1stWeek!$B$19*14+MultiLogRegr1stWeek!$B$20*0))</f>
        <v>244.86897056267114</v>
      </c>
      <c r="U199">
        <v>197</v>
      </c>
      <c r="V199">
        <v>333</v>
      </c>
      <c r="W199">
        <v>160</v>
      </c>
    </row>
    <row r="200" spans="11:23" x14ac:dyDescent="0.3">
      <c r="K200">
        <v>199</v>
      </c>
      <c r="L200">
        <f t="shared" ca="1" si="5"/>
        <v>394.91013623963329</v>
      </c>
      <c r="M200">
        <f ca="1">IF(L200&lt;=0,0,10^(MultiLogRegr1stWeek!$B$17+LOG10(L200)*MultiLogRegr1stWeek!$B$18+MultiLogRegr1stWeek!$B$19*14+MultiLogRegr1stWeek!$B$20*0))</f>
        <v>178.20097320756042</v>
      </c>
      <c r="U200">
        <v>198</v>
      </c>
      <c r="V200">
        <v>329</v>
      </c>
      <c r="W200">
        <v>158</v>
      </c>
    </row>
    <row r="201" spans="11:23" x14ac:dyDescent="0.3">
      <c r="K201">
        <v>200</v>
      </c>
      <c r="L201">
        <f t="shared" ca="1" si="5"/>
        <v>71.659395861578503</v>
      </c>
      <c r="M201">
        <f ca="1">IF(L201&lt;=0,0,10^(MultiLogRegr1stWeek!$B$17+LOG10(L201)*MultiLogRegr1stWeek!$B$18+MultiLogRegr1stWeek!$B$19*14+MultiLogRegr1stWeek!$B$20*0))</f>
        <v>31.191245673911236</v>
      </c>
      <c r="U201">
        <v>199</v>
      </c>
      <c r="V201">
        <v>321</v>
      </c>
      <c r="W201">
        <v>155</v>
      </c>
    </row>
    <row r="202" spans="11:23" x14ac:dyDescent="0.3">
      <c r="K202">
        <v>201</v>
      </c>
      <c r="L202">
        <f t="shared" ca="1" si="5"/>
        <v>410.04763762012578</v>
      </c>
      <c r="M202">
        <f ca="1">IF(L202&lt;=0,0,10^(MultiLogRegr1stWeek!$B$17+LOG10(L202)*MultiLogRegr1stWeek!$B$18+MultiLogRegr1stWeek!$B$19*14+MultiLogRegr1stWeek!$B$20*0))</f>
        <v>185.17871557822227</v>
      </c>
      <c r="U202">
        <v>200</v>
      </c>
      <c r="V202">
        <v>333</v>
      </c>
      <c r="W202">
        <v>159</v>
      </c>
    </row>
    <row r="203" spans="11:23" x14ac:dyDescent="0.3">
      <c r="K203">
        <v>202</v>
      </c>
      <c r="L203">
        <f t="shared" ca="1" si="5"/>
        <v>722.45782076707314</v>
      </c>
      <c r="M203">
        <f ca="1">IF(L203&lt;=0,0,10^(MultiLogRegr1stWeek!$B$17+LOG10(L203)*MultiLogRegr1stWeek!$B$18+MultiLogRegr1stWeek!$B$19*14+MultiLogRegr1stWeek!$B$20*0))</f>
        <v>330.18967779137159</v>
      </c>
      <c r="U203">
        <v>201</v>
      </c>
      <c r="V203">
        <v>343</v>
      </c>
      <c r="W203">
        <v>164</v>
      </c>
    </row>
    <row r="204" spans="11:23" x14ac:dyDescent="0.3">
      <c r="K204">
        <v>203</v>
      </c>
      <c r="L204">
        <f t="shared" ca="1" si="5"/>
        <v>50.7779989540673</v>
      </c>
      <c r="M204">
        <f ca="1">IF(L204&lt;=0,0,10^(MultiLogRegr1stWeek!$B$17+LOG10(L204)*MultiLogRegr1stWeek!$B$18+MultiLogRegr1stWeek!$B$19*14+MultiLogRegr1stWeek!$B$20*0))</f>
        <v>21.94199721165635</v>
      </c>
      <c r="U204">
        <v>202</v>
      </c>
      <c r="V204">
        <v>342</v>
      </c>
      <c r="W204">
        <v>162</v>
      </c>
    </row>
    <row r="205" spans="11:23" x14ac:dyDescent="0.3">
      <c r="K205">
        <v>204</v>
      </c>
      <c r="L205">
        <f t="shared" ca="1" si="5"/>
        <v>666.2480731919286</v>
      </c>
      <c r="M205">
        <f ca="1">IF(L205&lt;=0,0,10^(MultiLogRegr1stWeek!$B$17+LOG10(L205)*MultiLogRegr1stWeek!$B$18+MultiLogRegr1stWeek!$B$19*14+MultiLogRegr1stWeek!$B$20*0))</f>
        <v>303.97939774221186</v>
      </c>
      <c r="U205">
        <v>203</v>
      </c>
      <c r="V205">
        <v>331</v>
      </c>
      <c r="W205">
        <v>160</v>
      </c>
    </row>
    <row r="206" spans="11:23" x14ac:dyDescent="0.3">
      <c r="K206">
        <v>205</v>
      </c>
      <c r="L206">
        <f t="shared" ca="1" si="5"/>
        <v>865.46925728618567</v>
      </c>
      <c r="M206">
        <f ca="1">IF(L206&lt;=0,0,10^(MultiLogRegr1stWeek!$B$17+LOG10(L206)*MultiLogRegr1stWeek!$B$18+MultiLogRegr1stWeek!$B$19*14+MultiLogRegr1stWeek!$B$20*0))</f>
        <v>397.0626308267652</v>
      </c>
      <c r="U206">
        <v>204</v>
      </c>
      <c r="V206">
        <v>345</v>
      </c>
      <c r="W206">
        <v>166</v>
      </c>
    </row>
    <row r="207" spans="11:23" x14ac:dyDescent="0.3">
      <c r="K207">
        <v>206</v>
      </c>
      <c r="L207">
        <f t="shared" ca="1" si="5"/>
        <v>-308.83689606696691</v>
      </c>
      <c r="M207">
        <f ca="1">IF(L207&lt;=0,0,10^(MultiLogRegr1stWeek!$B$17+LOG10(L207)*MultiLogRegr1stWeek!$B$18+MultiLogRegr1stWeek!$B$19*14+MultiLogRegr1stWeek!$B$20*0))</f>
        <v>0</v>
      </c>
      <c r="U207">
        <v>205</v>
      </c>
      <c r="V207">
        <v>345</v>
      </c>
      <c r="W207">
        <v>166</v>
      </c>
    </row>
    <row r="208" spans="11:23" x14ac:dyDescent="0.3">
      <c r="K208">
        <v>207</v>
      </c>
      <c r="L208">
        <f t="shared" ca="1" si="5"/>
        <v>145.47357826760654</v>
      </c>
      <c r="M208">
        <f ca="1">IF(L208&lt;=0,0,10^(MultiLogRegr1stWeek!$B$17+LOG10(L208)*MultiLogRegr1stWeek!$B$18+MultiLogRegr1stWeek!$B$19*14+MultiLogRegr1stWeek!$B$20*0))</f>
        <v>64.274293136559905</v>
      </c>
      <c r="U208">
        <v>206</v>
      </c>
      <c r="V208">
        <v>333</v>
      </c>
      <c r="W208">
        <v>160</v>
      </c>
    </row>
    <row r="209" spans="11:23" x14ac:dyDescent="0.3">
      <c r="K209">
        <v>208</v>
      </c>
      <c r="L209">
        <f t="shared" ca="1" si="5"/>
        <v>566.43634722669231</v>
      </c>
      <c r="M209">
        <f ca="1">IF(L209&lt;=0,0,10^(MultiLogRegr1stWeek!$B$17+LOG10(L209)*MultiLogRegr1stWeek!$B$18+MultiLogRegr1stWeek!$B$19*14+MultiLogRegr1stWeek!$B$20*0))</f>
        <v>257.55553743658271</v>
      </c>
      <c r="U209">
        <v>207</v>
      </c>
      <c r="V209">
        <v>336</v>
      </c>
      <c r="W209">
        <v>160</v>
      </c>
    </row>
    <row r="210" spans="11:23" x14ac:dyDescent="0.3">
      <c r="K210">
        <v>209</v>
      </c>
      <c r="L210">
        <f t="shared" ca="1" si="5"/>
        <v>669.26404803973071</v>
      </c>
      <c r="M210">
        <f ca="1">IF(L210&lt;=0,0,10^(MultiLogRegr1stWeek!$B$17+LOG10(L210)*MultiLogRegr1stWeek!$B$18+MultiLogRegr1stWeek!$B$19*14+MultiLogRegr1stWeek!$B$20*0))</f>
        <v>305.38457785917194</v>
      </c>
      <c r="U210">
        <v>208</v>
      </c>
      <c r="V210">
        <v>325</v>
      </c>
      <c r="W210">
        <v>157</v>
      </c>
    </row>
    <row r="211" spans="11:23" x14ac:dyDescent="0.3">
      <c r="K211">
        <v>210</v>
      </c>
      <c r="L211">
        <f t="shared" ca="1" si="5"/>
        <v>182.24955639440063</v>
      </c>
      <c r="M211">
        <f ca="1">IF(L211&lt;=0,0,10^(MultiLogRegr1stWeek!$B$17+LOG10(L211)*MultiLogRegr1stWeek!$B$18+MultiLogRegr1stWeek!$B$19*14+MultiLogRegr1stWeek!$B$20*0))</f>
        <v>80.907096862869423</v>
      </c>
      <c r="U211">
        <v>209</v>
      </c>
      <c r="V211">
        <v>339</v>
      </c>
      <c r="W211">
        <v>163</v>
      </c>
    </row>
    <row r="212" spans="11:23" x14ac:dyDescent="0.3">
      <c r="K212">
        <v>211</v>
      </c>
      <c r="L212">
        <f t="shared" ca="1" si="5"/>
        <v>1013.1985089115325</v>
      </c>
      <c r="M212">
        <f ca="1">IF(L212&lt;=0,0,10^(MultiLogRegr1stWeek!$B$17+LOG10(L212)*MultiLogRegr1stWeek!$B$18+MultiLogRegr1stWeek!$B$19*14+MultiLogRegr1stWeek!$B$20*0))</f>
        <v>466.38781859855885</v>
      </c>
      <c r="U212">
        <v>210</v>
      </c>
      <c r="V212">
        <v>348</v>
      </c>
      <c r="W212">
        <v>165</v>
      </c>
    </row>
    <row r="213" spans="11:23" x14ac:dyDescent="0.3">
      <c r="K213">
        <v>212</v>
      </c>
      <c r="L213">
        <f t="shared" ca="1" si="5"/>
        <v>158.52307939389064</v>
      </c>
      <c r="M213">
        <f ca="1">IF(L213&lt;=0,0,10^(MultiLogRegr1stWeek!$B$17+LOG10(L213)*MultiLogRegr1stWeek!$B$18+MultiLogRegr1stWeek!$B$19*14+MultiLogRegr1stWeek!$B$20*0))</f>
        <v>70.167098277080655</v>
      </c>
      <c r="U213">
        <v>211</v>
      </c>
      <c r="V213">
        <v>338</v>
      </c>
      <c r="W213">
        <v>163</v>
      </c>
    </row>
    <row r="214" spans="11:23" x14ac:dyDescent="0.3">
      <c r="K214">
        <v>213</v>
      </c>
      <c r="L214">
        <f t="shared" ca="1" si="5"/>
        <v>374.54800475957325</v>
      </c>
      <c r="M214">
        <f ca="1">IF(L214&lt;=0,0,10^(MultiLogRegr1stWeek!$B$17+LOG10(L214)*MultiLogRegr1stWeek!$B$18+MultiLogRegr1stWeek!$B$19*14+MultiLogRegr1stWeek!$B$20*0))</f>
        <v>168.82384577991016</v>
      </c>
      <c r="U214">
        <v>212</v>
      </c>
      <c r="V214">
        <v>340</v>
      </c>
      <c r="W214">
        <v>162</v>
      </c>
    </row>
    <row r="215" spans="11:23" x14ac:dyDescent="0.3">
      <c r="K215">
        <v>214</v>
      </c>
      <c r="L215">
        <f t="shared" ca="1" si="5"/>
        <v>-161.22343011558536</v>
      </c>
      <c r="M215">
        <f ca="1">IF(L215&lt;=0,0,10^(MultiLogRegr1stWeek!$B$17+LOG10(L215)*MultiLogRegr1stWeek!$B$18+MultiLogRegr1stWeek!$B$19*14+MultiLogRegr1stWeek!$B$20*0))</f>
        <v>0</v>
      </c>
      <c r="U215">
        <v>213</v>
      </c>
      <c r="V215">
        <v>326</v>
      </c>
      <c r="W215">
        <v>158</v>
      </c>
    </row>
    <row r="216" spans="11:23" x14ac:dyDescent="0.3">
      <c r="K216">
        <v>215</v>
      </c>
      <c r="L216">
        <f t="shared" ca="1" si="5"/>
        <v>915.93466892785966</v>
      </c>
      <c r="M216">
        <f ca="1">IF(L216&lt;=0,0,10^(MultiLogRegr1stWeek!$B$17+LOG10(L216)*MultiLogRegr1stWeek!$B$18+MultiLogRegr1stWeek!$B$19*14+MultiLogRegr1stWeek!$B$20*0))</f>
        <v>420.71850010425067</v>
      </c>
      <c r="U216">
        <v>214</v>
      </c>
      <c r="V216">
        <v>340</v>
      </c>
      <c r="W216">
        <v>163</v>
      </c>
    </row>
    <row r="217" spans="11:23" x14ac:dyDescent="0.3">
      <c r="K217">
        <v>216</v>
      </c>
      <c r="L217">
        <f t="shared" ca="1" si="5"/>
        <v>155.65151133383384</v>
      </c>
      <c r="M217">
        <f ca="1">IF(L217&lt;=0,0,10^(MultiLogRegr1stWeek!$B$17+LOG10(L217)*MultiLogRegr1stWeek!$B$18+MultiLogRegr1stWeek!$B$19*14+MultiLogRegr1stWeek!$B$20*0))</f>
        <v>68.869465117842736</v>
      </c>
      <c r="U217">
        <v>215</v>
      </c>
      <c r="V217">
        <v>354</v>
      </c>
      <c r="W217">
        <v>169</v>
      </c>
    </row>
    <row r="218" spans="11:23" x14ac:dyDescent="0.3">
      <c r="K218">
        <v>217</v>
      </c>
      <c r="L218">
        <f t="shared" ca="1" si="5"/>
        <v>-250.78011942712999</v>
      </c>
      <c r="M218">
        <f ca="1">IF(L218&lt;=0,0,10^(MultiLogRegr1stWeek!$B$17+LOG10(L218)*MultiLogRegr1stWeek!$B$18+MultiLogRegr1stWeek!$B$19*14+MultiLogRegr1stWeek!$B$20*0))</f>
        <v>0</v>
      </c>
      <c r="U218">
        <v>216</v>
      </c>
      <c r="V218">
        <v>340</v>
      </c>
      <c r="W218">
        <v>165</v>
      </c>
    </row>
    <row r="219" spans="11:23" x14ac:dyDescent="0.3">
      <c r="K219">
        <v>218</v>
      </c>
      <c r="L219">
        <f t="shared" ca="1" si="5"/>
        <v>670.70006077589619</v>
      </c>
      <c r="M219">
        <f ca="1">IF(L219&lt;=0,0,10^(MultiLogRegr1stWeek!$B$17+LOG10(L219)*MultiLogRegr1stWeek!$B$18+MultiLogRegr1stWeek!$B$19*14+MultiLogRegr1stWeek!$B$20*0))</f>
        <v>306.05368104681008</v>
      </c>
      <c r="U219">
        <v>217</v>
      </c>
      <c r="V219">
        <v>347</v>
      </c>
      <c r="W219">
        <v>165</v>
      </c>
    </row>
    <row r="220" spans="11:23" x14ac:dyDescent="0.3">
      <c r="K220">
        <v>219</v>
      </c>
      <c r="L220">
        <f t="shared" ca="1" si="5"/>
        <v>-30.678680979175056</v>
      </c>
      <c r="M220">
        <f ca="1">IF(L220&lt;=0,0,10^(MultiLogRegr1stWeek!$B$17+LOG10(L220)*MultiLogRegr1stWeek!$B$18+MultiLogRegr1stWeek!$B$19*14+MultiLogRegr1stWeek!$B$20*0))</f>
        <v>0</v>
      </c>
      <c r="U220">
        <v>218</v>
      </c>
      <c r="V220">
        <v>341</v>
      </c>
      <c r="W220">
        <v>163</v>
      </c>
    </row>
    <row r="221" spans="11:23" x14ac:dyDescent="0.3">
      <c r="K221">
        <v>220</v>
      </c>
      <c r="L221">
        <f t="shared" ca="1" si="5"/>
        <v>193.25698119916603</v>
      </c>
      <c r="M221">
        <f ca="1">IF(L221&lt;=0,0,10^(MultiLogRegr1stWeek!$B$17+LOG10(L221)*MultiLogRegr1stWeek!$B$18+MultiLogRegr1stWeek!$B$19*14+MultiLogRegr1stWeek!$B$20*0))</f>
        <v>85.899996068259583</v>
      </c>
      <c r="U221">
        <v>219</v>
      </c>
      <c r="V221">
        <v>344</v>
      </c>
      <c r="W221">
        <v>165</v>
      </c>
    </row>
    <row r="222" spans="11:23" x14ac:dyDescent="0.3">
      <c r="K222">
        <v>221</v>
      </c>
      <c r="L222">
        <f t="shared" ca="1" si="5"/>
        <v>550.97316671376348</v>
      </c>
      <c r="M222">
        <f ca="1">IF(L222&lt;=0,0,10^(MultiLogRegr1stWeek!$B$17+LOG10(L222)*MultiLogRegr1stWeek!$B$18+MultiLogRegr1stWeek!$B$19*14+MultiLogRegr1stWeek!$B$20*0))</f>
        <v>250.3781292204969</v>
      </c>
      <c r="U222">
        <v>220</v>
      </c>
      <c r="V222">
        <v>358</v>
      </c>
      <c r="W222">
        <v>169</v>
      </c>
    </row>
    <row r="223" spans="11:23" x14ac:dyDescent="0.3">
      <c r="K223">
        <v>222</v>
      </c>
      <c r="L223">
        <f t="shared" ca="1" si="5"/>
        <v>447.88763626652263</v>
      </c>
      <c r="M223">
        <f ca="1">IF(L223&lt;=0,0,10^(MultiLogRegr1stWeek!$B$17+LOG10(L223)*MultiLogRegr1stWeek!$B$18+MultiLogRegr1stWeek!$B$19*14+MultiLogRegr1stWeek!$B$20*0))</f>
        <v>202.64473761114286</v>
      </c>
      <c r="U223">
        <v>221</v>
      </c>
      <c r="V223">
        <v>328</v>
      </c>
      <c r="W223">
        <v>158</v>
      </c>
    </row>
    <row r="224" spans="11:23" x14ac:dyDescent="0.3">
      <c r="K224">
        <v>223</v>
      </c>
      <c r="L224">
        <f t="shared" ca="1" si="5"/>
        <v>778.67711368191135</v>
      </c>
      <c r="M224">
        <f ca="1">IF(L224&lt;=0,0,10^(MultiLogRegr1stWeek!$B$17+LOG10(L224)*MultiLogRegr1stWeek!$B$18+MultiLogRegr1stWeek!$B$19*14+MultiLogRegr1stWeek!$B$20*0))</f>
        <v>356.44756036345865</v>
      </c>
      <c r="U224">
        <v>222</v>
      </c>
      <c r="V224">
        <v>354</v>
      </c>
      <c r="W224">
        <v>169</v>
      </c>
    </row>
    <row r="225" spans="11:23" x14ac:dyDescent="0.3">
      <c r="K225">
        <v>224</v>
      </c>
      <c r="L225">
        <f t="shared" ca="1" si="5"/>
        <v>764.27586131254657</v>
      </c>
      <c r="M225">
        <f ca="1">IF(L225&lt;=0,0,10^(MultiLogRegr1stWeek!$B$17+LOG10(L225)*MultiLogRegr1stWeek!$B$18+MultiLogRegr1stWeek!$B$19*14+MultiLogRegr1stWeek!$B$20*0))</f>
        <v>349.71735157544077</v>
      </c>
      <c r="U225">
        <v>223</v>
      </c>
      <c r="V225">
        <v>347</v>
      </c>
      <c r="W225">
        <v>166</v>
      </c>
    </row>
    <row r="226" spans="11:23" x14ac:dyDescent="0.3">
      <c r="K226">
        <v>225</v>
      </c>
      <c r="L226">
        <f t="shared" ca="1" si="5"/>
        <v>-48.14969882080203</v>
      </c>
      <c r="M226">
        <f ca="1">IF(L226&lt;=0,0,10^(MultiLogRegr1stWeek!$B$17+LOG10(L226)*MultiLogRegr1stWeek!$B$18+MultiLogRegr1stWeek!$B$19*14+MultiLogRegr1stWeek!$B$20*0))</f>
        <v>0</v>
      </c>
      <c r="U226">
        <v>224</v>
      </c>
      <c r="V226">
        <v>339</v>
      </c>
      <c r="W226">
        <v>164</v>
      </c>
    </row>
    <row r="227" spans="11:23" x14ac:dyDescent="0.3">
      <c r="K227">
        <v>226</v>
      </c>
      <c r="L227">
        <f t="shared" ca="1" si="5"/>
        <v>241.52546297706959</v>
      </c>
      <c r="M227">
        <f ca="1">IF(L227&lt;=0,0,10^(MultiLogRegr1stWeek!$B$17+LOG10(L227)*MultiLogRegr1stWeek!$B$18+MultiLogRegr1stWeek!$B$19*14+MultiLogRegr1stWeek!$B$20*0))</f>
        <v>107.86127659999026</v>
      </c>
      <c r="U227">
        <v>225</v>
      </c>
      <c r="V227">
        <v>330</v>
      </c>
      <c r="W227">
        <v>158</v>
      </c>
    </row>
    <row r="228" spans="11:23" x14ac:dyDescent="0.3">
      <c r="K228">
        <v>227</v>
      </c>
      <c r="L228">
        <f t="shared" ca="1" si="5"/>
        <v>304.3816123246479</v>
      </c>
      <c r="M228">
        <f ca="1">IF(L228&lt;=0,0,10^(MultiLogRegr1stWeek!$B$17+LOG10(L228)*MultiLogRegr1stWeek!$B$18+MultiLogRegr1stWeek!$B$19*14+MultiLogRegr1stWeek!$B$20*0))</f>
        <v>136.59736833987867</v>
      </c>
      <c r="U228">
        <v>226</v>
      </c>
      <c r="V228">
        <v>333</v>
      </c>
      <c r="W228">
        <v>160</v>
      </c>
    </row>
    <row r="229" spans="11:23" x14ac:dyDescent="0.3">
      <c r="K229">
        <v>228</v>
      </c>
      <c r="L229">
        <f t="shared" ca="1" si="5"/>
        <v>75.087847392991819</v>
      </c>
      <c r="M229">
        <f ca="1">IF(L229&lt;=0,0,10^(MultiLogRegr1stWeek!$B$17+LOG10(L229)*MultiLogRegr1stWeek!$B$18+MultiLogRegr1stWeek!$B$19*14+MultiLogRegr1stWeek!$B$20*0))</f>
        <v>32.715821205965369</v>
      </c>
      <c r="U229">
        <v>227</v>
      </c>
      <c r="V229">
        <v>327</v>
      </c>
      <c r="W229">
        <v>157</v>
      </c>
    </row>
    <row r="230" spans="11:23" x14ac:dyDescent="0.3">
      <c r="K230">
        <v>229</v>
      </c>
      <c r="L230">
        <f t="shared" ca="1" si="5"/>
        <v>350.42052749582967</v>
      </c>
      <c r="M230">
        <f ca="1">IF(L230&lt;=0,0,10^(MultiLogRegr1stWeek!$B$17+LOG10(L230)*MultiLogRegr1stWeek!$B$18+MultiLogRegr1stWeek!$B$19*14+MultiLogRegr1stWeek!$B$20*0))</f>
        <v>157.72668994085768</v>
      </c>
      <c r="U230">
        <v>228</v>
      </c>
      <c r="V230">
        <v>339</v>
      </c>
      <c r="W230">
        <v>162</v>
      </c>
    </row>
    <row r="231" spans="11:23" x14ac:dyDescent="0.3">
      <c r="K231">
        <v>230</v>
      </c>
      <c r="L231">
        <f t="shared" ca="1" si="5"/>
        <v>124.30646874898181</v>
      </c>
      <c r="M231">
        <f ca="1">IF(L231&lt;=0,0,10^(MultiLogRegr1stWeek!$B$17+LOG10(L231)*MultiLogRegr1stWeek!$B$18+MultiLogRegr1stWeek!$B$19*14+MultiLogRegr1stWeek!$B$20*0))</f>
        <v>54.740007265288646</v>
      </c>
      <c r="U231">
        <v>229</v>
      </c>
      <c r="V231">
        <v>344</v>
      </c>
      <c r="W231">
        <v>166</v>
      </c>
    </row>
    <row r="232" spans="11:23" x14ac:dyDescent="0.3">
      <c r="K232">
        <v>231</v>
      </c>
      <c r="L232">
        <f t="shared" ca="1" si="5"/>
        <v>465.20584521373041</v>
      </c>
      <c r="M232">
        <f ca="1">IF(L232&lt;=0,0,10^(MultiLogRegr1stWeek!$B$17+LOG10(L232)*MultiLogRegr1stWeek!$B$18+MultiLogRegr1stWeek!$B$19*14+MultiLogRegr1stWeek!$B$20*0))</f>
        <v>210.64896970583152</v>
      </c>
      <c r="U232">
        <v>230</v>
      </c>
      <c r="V232">
        <v>346</v>
      </c>
      <c r="W232">
        <v>165</v>
      </c>
    </row>
    <row r="233" spans="11:23" x14ac:dyDescent="0.3">
      <c r="K233">
        <v>232</v>
      </c>
      <c r="L233">
        <f t="shared" ca="1" si="5"/>
        <v>762.03061786096009</v>
      </c>
      <c r="M233">
        <f ca="1">IF(L233&lt;=0,0,10^(MultiLogRegr1stWeek!$B$17+LOG10(L233)*MultiLogRegr1stWeek!$B$18+MultiLogRegr1stWeek!$B$19*14+MultiLogRegr1stWeek!$B$20*0))</f>
        <v>348.66831081669329</v>
      </c>
      <c r="U233">
        <v>231</v>
      </c>
      <c r="V233">
        <v>334</v>
      </c>
      <c r="W233">
        <v>161</v>
      </c>
    </row>
    <row r="234" spans="11:23" x14ac:dyDescent="0.3">
      <c r="K234">
        <v>233</v>
      </c>
      <c r="L234">
        <f t="shared" ca="1" si="5"/>
        <v>111.71862826596302</v>
      </c>
      <c r="M234">
        <f ca="1">IF(L234&lt;=0,0,10^(MultiLogRegr1stWeek!$B$17+LOG10(L234)*MultiLogRegr1stWeek!$B$18+MultiLogRegr1stWeek!$B$19*14+MultiLogRegr1stWeek!$B$20*0))</f>
        <v>49.085992299447462</v>
      </c>
      <c r="U234">
        <v>232</v>
      </c>
      <c r="V234">
        <v>335</v>
      </c>
      <c r="W234">
        <v>161</v>
      </c>
    </row>
    <row r="235" spans="11:23" x14ac:dyDescent="0.3">
      <c r="K235">
        <v>234</v>
      </c>
      <c r="L235">
        <f t="shared" ca="1" si="5"/>
        <v>73.596009555587955</v>
      </c>
      <c r="M235">
        <f ca="1">IF(L235&lt;=0,0,10^(MultiLogRegr1stWeek!$B$17+LOG10(L235)*MultiLogRegr1stWeek!$B$18+MultiLogRegr1stWeek!$B$19*14+MultiLogRegr1stWeek!$B$20*0))</f>
        <v>32.052240957062587</v>
      </c>
      <c r="U235">
        <v>233</v>
      </c>
      <c r="V235">
        <v>349</v>
      </c>
      <c r="W235">
        <v>164</v>
      </c>
    </row>
    <row r="236" spans="11:23" x14ac:dyDescent="0.3">
      <c r="K236">
        <v>235</v>
      </c>
      <c r="L236">
        <f t="shared" ca="1" si="5"/>
        <v>229.11015135527703</v>
      </c>
      <c r="M236">
        <f ca="1">IF(L236&lt;=0,0,10^(MultiLogRegr1stWeek!$B$17+LOG10(L236)*MultiLogRegr1stWeek!$B$18+MultiLogRegr1stWeek!$B$19*14+MultiLogRegr1stWeek!$B$20*0))</f>
        <v>102.20284857330351</v>
      </c>
      <c r="U236">
        <v>234</v>
      </c>
      <c r="V236">
        <v>329</v>
      </c>
      <c r="W236">
        <v>157</v>
      </c>
    </row>
    <row r="237" spans="11:23" x14ac:dyDescent="0.3">
      <c r="K237">
        <v>236</v>
      </c>
      <c r="L237">
        <f t="shared" ca="1" si="5"/>
        <v>198.59752960228283</v>
      </c>
      <c r="M237">
        <f ca="1">IF(L237&lt;=0,0,10^(MultiLogRegr1stWeek!$B$17+LOG10(L237)*MultiLogRegr1stWeek!$B$18+MultiLogRegr1stWeek!$B$19*14+MultiLogRegr1stWeek!$B$20*0))</f>
        <v>88.32462201737485</v>
      </c>
      <c r="U237">
        <v>235</v>
      </c>
      <c r="V237">
        <v>343</v>
      </c>
      <c r="W237">
        <v>163</v>
      </c>
    </row>
    <row r="238" spans="11:23" x14ac:dyDescent="0.3">
      <c r="K238">
        <v>237</v>
      </c>
      <c r="L238">
        <f t="shared" ca="1" si="5"/>
        <v>317.220713865601</v>
      </c>
      <c r="M238">
        <f ca="1">IF(L238&lt;=0,0,10^(MultiLogRegr1stWeek!$B$17+LOG10(L238)*MultiLogRegr1stWeek!$B$18+MultiLogRegr1stWeek!$B$19*14+MultiLogRegr1stWeek!$B$20*0))</f>
        <v>142.48342842215186</v>
      </c>
      <c r="U238">
        <v>236</v>
      </c>
      <c r="V238">
        <v>343</v>
      </c>
      <c r="W238">
        <v>165</v>
      </c>
    </row>
    <row r="239" spans="11:23" x14ac:dyDescent="0.3">
      <c r="K239">
        <v>238</v>
      </c>
      <c r="L239">
        <f t="shared" ca="1" si="5"/>
        <v>147.8631600542619</v>
      </c>
      <c r="M239">
        <f ca="1">IF(L239&lt;=0,0,10^(MultiLogRegr1stWeek!$B$17+LOG10(L239)*MultiLogRegr1stWeek!$B$18+MultiLogRegr1stWeek!$B$19*14+MultiLogRegr1stWeek!$B$20*0))</f>
        <v>65.352557796990453</v>
      </c>
      <c r="U239">
        <v>237</v>
      </c>
      <c r="V239">
        <v>328</v>
      </c>
      <c r="W239">
        <v>158</v>
      </c>
    </row>
    <row r="240" spans="11:23" x14ac:dyDescent="0.3">
      <c r="K240">
        <v>239</v>
      </c>
      <c r="L240">
        <f t="shared" ca="1" si="5"/>
        <v>193.91449561946274</v>
      </c>
      <c r="M240">
        <f ca="1">IF(L240&lt;=0,0,10^(MultiLogRegr1stWeek!$B$17+LOG10(L240)*MultiLogRegr1stWeek!$B$18+MultiLogRegr1stWeek!$B$19*14+MultiLogRegr1stWeek!$B$20*0))</f>
        <v>86.198434114533157</v>
      </c>
      <c r="U240">
        <v>238</v>
      </c>
      <c r="V240">
        <v>349</v>
      </c>
      <c r="W240">
        <v>166</v>
      </c>
    </row>
    <row r="241" spans="11:23" x14ac:dyDescent="0.3">
      <c r="K241">
        <v>240</v>
      </c>
      <c r="L241">
        <f t="shared" ca="1" si="5"/>
        <v>1263.7344957429568</v>
      </c>
      <c r="M241">
        <f ca="1">IF(L241&lt;=0,0,10^(MultiLogRegr1stWeek!$B$17+LOG10(L241)*MultiLogRegr1stWeek!$B$18+MultiLogRegr1stWeek!$B$19*14+MultiLogRegr1stWeek!$B$20*0))</f>
        <v>584.43320290244071</v>
      </c>
      <c r="U241">
        <v>239</v>
      </c>
      <c r="V241">
        <v>354</v>
      </c>
      <c r="W241">
        <v>168</v>
      </c>
    </row>
    <row r="242" spans="11:23" x14ac:dyDescent="0.3">
      <c r="K242">
        <v>241</v>
      </c>
      <c r="L242">
        <f t="shared" ca="1" si="5"/>
        <v>348.37963328985541</v>
      </c>
      <c r="M242">
        <f ca="1">IF(L242&lt;=0,0,10^(MultiLogRegr1stWeek!$B$17+LOG10(L242)*MultiLogRegr1stWeek!$B$18+MultiLogRegr1stWeek!$B$19*14+MultiLogRegr1stWeek!$B$20*0))</f>
        <v>156.78872899624213</v>
      </c>
      <c r="U242">
        <v>240</v>
      </c>
      <c r="V242">
        <v>345</v>
      </c>
      <c r="W242">
        <v>164</v>
      </c>
    </row>
    <row r="243" spans="11:23" x14ac:dyDescent="0.3">
      <c r="K243">
        <v>242</v>
      </c>
      <c r="L243">
        <f t="shared" ca="1" si="5"/>
        <v>236.08803546475633</v>
      </c>
      <c r="M243">
        <f ca="1">IF(L243&lt;=0,0,10^(MultiLogRegr1stWeek!$B$17+LOG10(L243)*MultiLogRegr1stWeek!$B$18+MultiLogRegr1stWeek!$B$19*14+MultiLogRegr1stWeek!$B$20*0))</f>
        <v>105.38232827974615</v>
      </c>
      <c r="U243">
        <v>241</v>
      </c>
      <c r="V243">
        <v>308</v>
      </c>
      <c r="W243">
        <v>151</v>
      </c>
    </row>
    <row r="244" spans="11:23" x14ac:dyDescent="0.3">
      <c r="K244">
        <v>243</v>
      </c>
      <c r="L244">
        <f t="shared" ca="1" si="5"/>
        <v>435.87990168859801</v>
      </c>
      <c r="M244">
        <f ca="1">IF(L244&lt;=0,0,10^(MultiLogRegr1stWeek!$B$17+LOG10(L244)*MultiLogRegr1stWeek!$B$18+MultiLogRegr1stWeek!$B$19*14+MultiLogRegr1stWeek!$B$20*0))</f>
        <v>197.09875294723017</v>
      </c>
      <c r="U244">
        <v>242</v>
      </c>
      <c r="V244">
        <v>347</v>
      </c>
      <c r="W244">
        <v>164</v>
      </c>
    </row>
    <row r="245" spans="11:23" x14ac:dyDescent="0.3">
      <c r="K245">
        <v>244</v>
      </c>
      <c r="L245">
        <f t="shared" ca="1" si="5"/>
        <v>535.00848136139825</v>
      </c>
      <c r="M245">
        <f ca="1">IF(L245&lt;=0,0,10^(MultiLogRegr1stWeek!$B$17+LOG10(L245)*MultiLogRegr1stWeek!$B$18+MultiLogRegr1stWeek!$B$19*14+MultiLogRegr1stWeek!$B$20*0))</f>
        <v>242.97240534391597</v>
      </c>
      <c r="U245">
        <v>243</v>
      </c>
      <c r="V245">
        <v>343</v>
      </c>
      <c r="W245">
        <v>164</v>
      </c>
    </row>
    <row r="246" spans="11:23" x14ac:dyDescent="0.3">
      <c r="K246">
        <v>245</v>
      </c>
      <c r="L246">
        <f t="shared" ca="1" si="5"/>
        <v>453.04384517830459</v>
      </c>
      <c r="M246">
        <f ca="1">IF(L246&lt;=0,0,10^(MultiLogRegr1stWeek!$B$17+LOG10(L246)*MultiLogRegr1stWeek!$B$18+MultiLogRegr1stWeek!$B$19*14+MultiLogRegr1stWeek!$B$20*0))</f>
        <v>205.02719268500476</v>
      </c>
      <c r="U246">
        <v>244</v>
      </c>
      <c r="V246">
        <v>329</v>
      </c>
      <c r="W246">
        <v>158</v>
      </c>
    </row>
    <row r="247" spans="11:23" x14ac:dyDescent="0.3">
      <c r="K247">
        <v>246</v>
      </c>
      <c r="L247">
        <f t="shared" ca="1" si="5"/>
        <v>459.30989634910463</v>
      </c>
      <c r="M247">
        <f ca="1">IF(L247&lt;=0,0,10^(MultiLogRegr1stWeek!$B$17+LOG10(L247)*MultiLogRegr1stWeek!$B$18+MultiLogRegr1stWeek!$B$19*14+MultiLogRegr1stWeek!$B$20*0))</f>
        <v>207.92322677735208</v>
      </c>
      <c r="U247">
        <v>245</v>
      </c>
      <c r="V247">
        <v>350</v>
      </c>
      <c r="W247">
        <v>166</v>
      </c>
    </row>
    <row r="248" spans="11:23" x14ac:dyDescent="0.3">
      <c r="K248">
        <v>247</v>
      </c>
      <c r="L248">
        <f t="shared" ca="1" si="5"/>
        <v>363.44005879939061</v>
      </c>
      <c r="M248">
        <f ca="1">IF(L248&lt;=0,0,10^(MultiLogRegr1stWeek!$B$17+LOG10(L248)*MultiLogRegr1stWeek!$B$18+MultiLogRegr1stWeek!$B$19*14+MultiLogRegr1stWeek!$B$20*0))</f>
        <v>163.71293755330944</v>
      </c>
      <c r="U248">
        <v>246</v>
      </c>
      <c r="V248">
        <v>345</v>
      </c>
      <c r="W248">
        <v>165</v>
      </c>
    </row>
    <row r="249" spans="11:23" x14ac:dyDescent="0.3">
      <c r="K249">
        <v>248</v>
      </c>
      <c r="L249">
        <f t="shared" ca="1" si="5"/>
        <v>443.88395364497518</v>
      </c>
      <c r="M249">
        <f ca="1">IF(L249&lt;=0,0,10^(MultiLogRegr1stWeek!$B$17+LOG10(L249)*MultiLogRegr1stWeek!$B$18+MultiLogRegr1stWeek!$B$19*14+MultiLogRegr1stWeek!$B$20*0))</f>
        <v>200.79521281605349</v>
      </c>
      <c r="U249">
        <v>247</v>
      </c>
      <c r="V249">
        <v>324</v>
      </c>
      <c r="W249">
        <v>155</v>
      </c>
    </row>
    <row r="250" spans="11:23" x14ac:dyDescent="0.3">
      <c r="K250">
        <v>249</v>
      </c>
      <c r="L250">
        <f t="shared" ca="1" si="5"/>
        <v>486.99977901435733</v>
      </c>
      <c r="M250">
        <f ca="1">IF(L250&lt;=0,0,10^(MultiLogRegr1stWeek!$B$17+LOG10(L250)*MultiLogRegr1stWeek!$B$18+MultiLogRegr1stWeek!$B$19*14+MultiLogRegr1stWeek!$B$20*0))</f>
        <v>220.73073843280483</v>
      </c>
      <c r="U250">
        <v>248</v>
      </c>
      <c r="V250">
        <v>337</v>
      </c>
      <c r="W250">
        <v>161</v>
      </c>
    </row>
    <row r="251" spans="11:23" x14ac:dyDescent="0.3">
      <c r="K251">
        <v>250</v>
      </c>
      <c r="L251">
        <f t="shared" ca="1" si="5"/>
        <v>-154.8343965781699</v>
      </c>
      <c r="M251">
        <f ca="1">IF(L251&lt;=0,0,10^(MultiLogRegr1stWeek!$B$17+LOG10(L251)*MultiLogRegr1stWeek!$B$18+MultiLogRegr1stWeek!$B$19*14+MultiLogRegr1stWeek!$B$20*0))</f>
        <v>0</v>
      </c>
      <c r="U251">
        <v>249</v>
      </c>
      <c r="V251">
        <v>340</v>
      </c>
      <c r="W251">
        <v>162</v>
      </c>
    </row>
    <row r="252" spans="11:23" x14ac:dyDescent="0.3">
      <c r="K252">
        <v>251</v>
      </c>
      <c r="L252">
        <f t="shared" ca="1" si="5"/>
        <v>299.26429564648265</v>
      </c>
      <c r="M252">
        <f ca="1">IF(L252&lt;=0,0,10^(MultiLogRegr1stWeek!$B$17+LOG10(L252)*MultiLogRegr1stWeek!$B$18+MultiLogRegr1stWeek!$B$19*14+MultiLogRegr1stWeek!$B$20*0))</f>
        <v>134.25279372479295</v>
      </c>
      <c r="U252">
        <v>250</v>
      </c>
      <c r="V252">
        <v>341</v>
      </c>
      <c r="W252">
        <v>163</v>
      </c>
    </row>
    <row r="253" spans="11:23" x14ac:dyDescent="0.3">
      <c r="K253">
        <v>252</v>
      </c>
      <c r="L253">
        <f t="shared" ca="1" si="5"/>
        <v>-14.91502851595385</v>
      </c>
      <c r="M253">
        <f ca="1">IF(L253&lt;=0,0,10^(MultiLogRegr1stWeek!$B$17+LOG10(L253)*MultiLogRegr1stWeek!$B$18+MultiLogRegr1stWeek!$B$19*14+MultiLogRegr1stWeek!$B$20*0))</f>
        <v>0</v>
      </c>
      <c r="U253">
        <v>251</v>
      </c>
      <c r="V253">
        <v>340</v>
      </c>
      <c r="W253">
        <v>163</v>
      </c>
    </row>
    <row r="254" spans="11:23" x14ac:dyDescent="0.3">
      <c r="K254">
        <v>253</v>
      </c>
      <c r="L254">
        <f t="shared" ca="1" si="5"/>
        <v>175.46250283974967</v>
      </c>
      <c r="M254">
        <f ca="1">IF(L254&lt;=0,0,10^(MultiLogRegr1stWeek!$B$17+LOG10(L254)*MultiLogRegr1stWeek!$B$18+MultiLogRegr1stWeek!$B$19*14+MultiLogRegr1stWeek!$B$20*0))</f>
        <v>77.831680841803617</v>
      </c>
      <c r="U254">
        <v>252</v>
      </c>
      <c r="V254">
        <v>320</v>
      </c>
      <c r="W254">
        <v>156</v>
      </c>
    </row>
    <row r="255" spans="11:23" x14ac:dyDescent="0.3">
      <c r="K255">
        <v>254</v>
      </c>
      <c r="L255">
        <f t="shared" ca="1" si="5"/>
        <v>217.80539800099999</v>
      </c>
      <c r="M255">
        <f ca="1">IF(L255&lt;=0,0,10^(MultiLogRegr1stWeek!$B$17+LOG10(L255)*MultiLogRegr1stWeek!$B$18+MultiLogRegr1stWeek!$B$19*14+MultiLogRegr1stWeek!$B$20*0))</f>
        <v>97.056193293317563</v>
      </c>
      <c r="U255">
        <v>253</v>
      </c>
      <c r="V255">
        <v>367</v>
      </c>
      <c r="W255">
        <v>174</v>
      </c>
    </row>
    <row r="256" spans="11:23" x14ac:dyDescent="0.3">
      <c r="K256">
        <v>255</v>
      </c>
      <c r="L256">
        <f t="shared" ca="1" si="5"/>
        <v>547.0789273594595</v>
      </c>
      <c r="M256">
        <f ca="1">IF(L256&lt;=0,0,10^(MultiLogRegr1stWeek!$B$17+LOG10(L256)*MultiLogRegr1stWeek!$B$18+MultiLogRegr1stWeek!$B$19*14+MultiLogRegr1stWeek!$B$20*0))</f>
        <v>248.57124024770138</v>
      </c>
      <c r="U256">
        <v>254</v>
      </c>
      <c r="V256">
        <v>338</v>
      </c>
      <c r="W256">
        <v>161</v>
      </c>
    </row>
    <row r="257" spans="11:23" x14ac:dyDescent="0.3">
      <c r="K257">
        <v>256</v>
      </c>
      <c r="L257">
        <f t="shared" ca="1" si="5"/>
        <v>383.42081471100209</v>
      </c>
      <c r="M257">
        <f ca="1">IF(L257&lt;=0,0,10^(MultiLogRegr1stWeek!$B$17+LOG10(L257)*MultiLogRegr1stWeek!$B$18+MultiLogRegr1stWeek!$B$19*14+MultiLogRegr1stWeek!$B$20*0))</f>
        <v>172.90864423797854</v>
      </c>
      <c r="U257">
        <v>255</v>
      </c>
      <c r="V257">
        <v>339</v>
      </c>
      <c r="W257">
        <v>162</v>
      </c>
    </row>
    <row r="258" spans="11:23" x14ac:dyDescent="0.3">
      <c r="K258">
        <v>257</v>
      </c>
      <c r="L258">
        <f t="shared" ca="1" si="5"/>
        <v>149.70875332874638</v>
      </c>
      <c r="M258">
        <f ca="1">IF(L258&lt;=0,0,10^(MultiLogRegr1stWeek!$B$17+LOG10(L258)*MultiLogRegr1stWeek!$B$18+MultiLogRegr1stWeek!$B$19*14+MultiLogRegr1stWeek!$B$20*0))</f>
        <v>66.185607615918215</v>
      </c>
      <c r="U258">
        <v>256</v>
      </c>
      <c r="V258">
        <v>332</v>
      </c>
      <c r="W258">
        <v>158</v>
      </c>
    </row>
    <row r="259" spans="11:23" x14ac:dyDescent="0.3">
      <c r="K259">
        <v>258</v>
      </c>
      <c r="L259">
        <f t="shared" ref="L259:L322" ca="1" si="6">_xlfn.NORM.INV(RAND(),$S$3,$S$2)</f>
        <v>950.31352796134297</v>
      </c>
      <c r="M259">
        <f ca="1">IF(L259&lt;=0,0,10^(MultiLogRegr1stWeek!$B$17+LOG10(L259)*MultiLogRegr1stWeek!$B$18+MultiLogRegr1stWeek!$B$19*14+MultiLogRegr1stWeek!$B$20*0))</f>
        <v>436.84959880949981</v>
      </c>
      <c r="U259">
        <v>257</v>
      </c>
      <c r="V259">
        <v>348</v>
      </c>
      <c r="W259">
        <v>165</v>
      </c>
    </row>
    <row r="260" spans="11:23" x14ac:dyDescent="0.3">
      <c r="K260">
        <v>259</v>
      </c>
      <c r="L260">
        <f t="shared" ca="1" si="6"/>
        <v>557.9186071236046</v>
      </c>
      <c r="M260">
        <f ca="1">IF(L260&lt;=0,0,10^(MultiLogRegr1stWeek!$B$17+LOG10(L260)*MultiLogRegr1stWeek!$B$18+MultiLogRegr1stWeek!$B$19*14+MultiLogRegr1stWeek!$B$20*0))</f>
        <v>253.60141390105085</v>
      </c>
      <c r="U260">
        <v>258</v>
      </c>
      <c r="V260">
        <v>322</v>
      </c>
      <c r="W260">
        <v>156</v>
      </c>
    </row>
    <row r="261" spans="11:23" x14ac:dyDescent="0.3">
      <c r="K261">
        <v>260</v>
      </c>
      <c r="L261">
        <f t="shared" ca="1" si="6"/>
        <v>597.28030797224278</v>
      </c>
      <c r="M261">
        <f ca="1">IF(L261&lt;=0,0,10^(MultiLogRegr1stWeek!$B$17+LOG10(L261)*MultiLogRegr1stWeek!$B$18+MultiLogRegr1stWeek!$B$19*14+MultiLogRegr1stWeek!$B$20*0))</f>
        <v>271.88436277747894</v>
      </c>
      <c r="U261">
        <v>259</v>
      </c>
      <c r="V261">
        <v>351</v>
      </c>
      <c r="W261">
        <v>166</v>
      </c>
    </row>
    <row r="262" spans="11:23" x14ac:dyDescent="0.3">
      <c r="K262">
        <v>261</v>
      </c>
      <c r="L262">
        <f t="shared" ca="1" si="6"/>
        <v>173.11126681566356</v>
      </c>
      <c r="M262">
        <f ca="1">IF(L262&lt;=0,0,10^(MultiLogRegr1stWeek!$B$17+LOG10(L262)*MultiLogRegr1stWeek!$B$18+MultiLogRegr1stWeek!$B$19*14+MultiLogRegr1stWeek!$B$20*0))</f>
        <v>76.76684670301232</v>
      </c>
      <c r="U262">
        <v>260</v>
      </c>
      <c r="V262">
        <v>335</v>
      </c>
      <c r="W262">
        <v>160</v>
      </c>
    </row>
    <row r="263" spans="11:23" x14ac:dyDescent="0.3">
      <c r="K263">
        <v>262</v>
      </c>
      <c r="L263">
        <f t="shared" ca="1" si="6"/>
        <v>456.21508368545869</v>
      </c>
      <c r="M263">
        <f ca="1">IF(L263&lt;=0,0,10^(MultiLogRegr1stWeek!$B$17+LOG10(L263)*MultiLogRegr1stWeek!$B$18+MultiLogRegr1stWeek!$B$19*14+MultiLogRegr1stWeek!$B$20*0))</f>
        <v>206.49276593688964</v>
      </c>
      <c r="U263">
        <v>261</v>
      </c>
      <c r="V263">
        <v>330</v>
      </c>
      <c r="W263">
        <v>159</v>
      </c>
    </row>
    <row r="264" spans="11:23" x14ac:dyDescent="0.3">
      <c r="K264">
        <v>263</v>
      </c>
      <c r="L264">
        <f t="shared" ca="1" si="6"/>
        <v>-72.948035450426403</v>
      </c>
      <c r="M264">
        <f ca="1">IF(L264&lt;=0,0,10^(MultiLogRegr1stWeek!$B$17+LOG10(L264)*MultiLogRegr1stWeek!$B$18+MultiLogRegr1stWeek!$B$19*14+MultiLogRegr1stWeek!$B$20*0))</f>
        <v>0</v>
      </c>
      <c r="U264">
        <v>262</v>
      </c>
      <c r="V264">
        <v>342</v>
      </c>
      <c r="W264">
        <v>162</v>
      </c>
    </row>
    <row r="265" spans="11:23" x14ac:dyDescent="0.3">
      <c r="K265">
        <v>264</v>
      </c>
      <c r="L265">
        <f t="shared" ca="1" si="6"/>
        <v>574.38210893728524</v>
      </c>
      <c r="M265">
        <f ca="1">IF(L265&lt;=0,0,10^(MultiLogRegr1stWeek!$B$17+LOG10(L265)*MultiLogRegr1stWeek!$B$18+MultiLogRegr1stWeek!$B$19*14+MultiLogRegr1stWeek!$B$20*0))</f>
        <v>261.245268483649</v>
      </c>
      <c r="U265">
        <v>263</v>
      </c>
      <c r="V265">
        <v>341</v>
      </c>
      <c r="W265">
        <v>163</v>
      </c>
    </row>
    <row r="266" spans="11:23" x14ac:dyDescent="0.3">
      <c r="K266">
        <v>265</v>
      </c>
      <c r="L266">
        <f t="shared" ca="1" si="6"/>
        <v>615.69210664245588</v>
      </c>
      <c r="M266">
        <f ca="1">IF(L266&lt;=0,0,10^(MultiLogRegr1stWeek!$B$17+LOG10(L266)*MultiLogRegr1stWeek!$B$18+MultiLogRegr1stWeek!$B$19*14+MultiLogRegr1stWeek!$B$20*0))</f>
        <v>280.44522581321257</v>
      </c>
      <c r="U266">
        <v>264</v>
      </c>
      <c r="V266">
        <v>335</v>
      </c>
      <c r="W266">
        <v>161</v>
      </c>
    </row>
    <row r="267" spans="11:23" x14ac:dyDescent="0.3">
      <c r="K267">
        <v>266</v>
      </c>
      <c r="L267">
        <f t="shared" ca="1" si="6"/>
        <v>522.13760233846801</v>
      </c>
      <c r="M267">
        <f ca="1">IF(L267&lt;=0,0,10^(MultiLogRegr1stWeek!$B$17+LOG10(L267)*MultiLogRegr1stWeek!$B$18+MultiLogRegr1stWeek!$B$19*14+MultiLogRegr1stWeek!$B$20*0))</f>
        <v>237.00523190690839</v>
      </c>
      <c r="U267">
        <v>265</v>
      </c>
      <c r="V267">
        <v>333</v>
      </c>
      <c r="W267">
        <v>161</v>
      </c>
    </row>
    <row r="268" spans="11:23" x14ac:dyDescent="0.3">
      <c r="K268">
        <v>267</v>
      </c>
      <c r="L268">
        <f t="shared" ca="1" si="6"/>
        <v>555.74760525939075</v>
      </c>
      <c r="M268">
        <f ca="1">IF(L268&lt;=0,0,10^(MultiLogRegr1stWeek!$B$17+LOG10(L268)*MultiLogRegr1stWeek!$B$18+MultiLogRegr1stWeek!$B$19*14+MultiLogRegr1stWeek!$B$20*0))</f>
        <v>252.59378984990425</v>
      </c>
      <c r="U268">
        <v>266</v>
      </c>
      <c r="V268">
        <v>331</v>
      </c>
      <c r="W268">
        <v>159</v>
      </c>
    </row>
    <row r="269" spans="11:23" x14ac:dyDescent="0.3">
      <c r="K269">
        <v>268</v>
      </c>
      <c r="L269">
        <f t="shared" ca="1" si="6"/>
        <v>184.90962090322682</v>
      </c>
      <c r="M269">
        <f ca="1">IF(L269&lt;=0,0,10^(MultiLogRegr1stWeek!$B$17+LOG10(L269)*MultiLogRegr1stWeek!$B$18+MultiLogRegr1stWeek!$B$19*14+MultiLogRegr1stWeek!$B$20*0))</f>
        <v>82.113116232872997</v>
      </c>
      <c r="U269">
        <v>267</v>
      </c>
      <c r="V269">
        <v>334</v>
      </c>
      <c r="W269">
        <v>160</v>
      </c>
    </row>
    <row r="270" spans="11:23" x14ac:dyDescent="0.3">
      <c r="K270">
        <v>269</v>
      </c>
      <c r="L270">
        <f t="shared" ca="1" si="6"/>
        <v>323.24718370166994</v>
      </c>
      <c r="M270">
        <f ca="1">IF(L270&lt;=0,0,10^(MultiLogRegr1stWeek!$B$17+LOG10(L270)*MultiLogRegr1stWeek!$B$18+MultiLogRegr1stWeek!$B$19*14+MultiLogRegr1stWeek!$B$20*0))</f>
        <v>145.2479994019927</v>
      </c>
      <c r="U270">
        <v>268</v>
      </c>
      <c r="V270">
        <v>330</v>
      </c>
      <c r="W270">
        <v>159</v>
      </c>
    </row>
    <row r="271" spans="11:23" x14ac:dyDescent="0.3">
      <c r="K271">
        <v>270</v>
      </c>
      <c r="L271">
        <f t="shared" ca="1" si="6"/>
        <v>329.26493895239901</v>
      </c>
      <c r="M271">
        <f ca="1">IF(L271&lt;=0,0,10^(MultiLogRegr1stWeek!$B$17+LOG10(L271)*MultiLogRegr1stWeek!$B$18+MultiLogRegr1stWeek!$B$19*14+MultiLogRegr1stWeek!$B$20*0))</f>
        <v>148.0096589785615</v>
      </c>
      <c r="U271">
        <v>269</v>
      </c>
      <c r="V271">
        <v>355</v>
      </c>
      <c r="W271">
        <v>169</v>
      </c>
    </row>
    <row r="272" spans="11:23" x14ac:dyDescent="0.3">
      <c r="K272">
        <v>271</v>
      </c>
      <c r="L272">
        <f t="shared" ca="1" si="6"/>
        <v>480.59508835406143</v>
      </c>
      <c r="M272">
        <f ca="1">IF(L272&lt;=0,0,10^(MultiLogRegr1stWeek!$B$17+LOG10(L272)*MultiLogRegr1stWeek!$B$18+MultiLogRegr1stWeek!$B$19*14+MultiLogRegr1stWeek!$B$20*0))</f>
        <v>217.76695127614829</v>
      </c>
      <c r="U272">
        <v>270</v>
      </c>
      <c r="V272">
        <v>337</v>
      </c>
      <c r="W272">
        <v>162</v>
      </c>
    </row>
    <row r="273" spans="11:23" x14ac:dyDescent="0.3">
      <c r="K273">
        <v>272</v>
      </c>
      <c r="L273">
        <f t="shared" ca="1" si="6"/>
        <v>175.40522639613667</v>
      </c>
      <c r="M273">
        <f ca="1">IF(L273&lt;=0,0,10^(MultiLogRegr1stWeek!$B$17+LOG10(L273)*MultiLogRegr1stWeek!$B$18+MultiLogRegr1stWeek!$B$19*14+MultiLogRegr1stWeek!$B$20*0))</f>
        <v>77.805737733608979</v>
      </c>
      <c r="U273">
        <v>271</v>
      </c>
      <c r="V273">
        <v>339</v>
      </c>
      <c r="W273">
        <v>162</v>
      </c>
    </row>
    <row r="274" spans="11:23" x14ac:dyDescent="0.3">
      <c r="K274">
        <v>273</v>
      </c>
      <c r="L274">
        <f t="shared" ca="1" si="6"/>
        <v>489.26152610257935</v>
      </c>
      <c r="M274">
        <f ca="1">IF(L274&lt;=0,0,10^(MultiLogRegr1stWeek!$B$17+LOG10(L274)*MultiLogRegr1stWeek!$B$18+MultiLogRegr1stWeek!$B$19*14+MultiLogRegr1stWeek!$B$20*0))</f>
        <v>221.77756497416098</v>
      </c>
      <c r="U274">
        <v>272</v>
      </c>
      <c r="V274">
        <v>335</v>
      </c>
      <c r="W274">
        <v>161</v>
      </c>
    </row>
    <row r="275" spans="11:23" x14ac:dyDescent="0.3">
      <c r="K275">
        <v>274</v>
      </c>
      <c r="L275">
        <f t="shared" ca="1" si="6"/>
        <v>275.82613963702289</v>
      </c>
      <c r="M275">
        <f ca="1">IF(L275&lt;=0,0,10^(MultiLogRegr1stWeek!$B$17+LOG10(L275)*MultiLogRegr1stWeek!$B$18+MultiLogRegr1stWeek!$B$19*14+MultiLogRegr1stWeek!$B$20*0))</f>
        <v>123.52529670159311</v>
      </c>
      <c r="U275">
        <v>273</v>
      </c>
      <c r="V275">
        <v>342</v>
      </c>
      <c r="W275">
        <v>163</v>
      </c>
    </row>
    <row r="276" spans="11:23" x14ac:dyDescent="0.3">
      <c r="K276">
        <v>275</v>
      </c>
      <c r="L276">
        <f t="shared" ca="1" si="6"/>
        <v>618.11190735840808</v>
      </c>
      <c r="M276">
        <f ca="1">IF(L276&lt;=0,0,10^(MultiLogRegr1stWeek!$B$17+LOG10(L276)*MultiLogRegr1stWeek!$B$18+MultiLogRegr1stWeek!$B$19*14+MultiLogRegr1stWeek!$B$20*0))</f>
        <v>281.57075674476476</v>
      </c>
      <c r="U276">
        <v>274</v>
      </c>
      <c r="V276">
        <v>356</v>
      </c>
      <c r="W276">
        <v>169</v>
      </c>
    </row>
    <row r="277" spans="11:23" x14ac:dyDescent="0.3">
      <c r="K277">
        <v>276</v>
      </c>
      <c r="L277">
        <f t="shared" ca="1" si="6"/>
        <v>101.84625482750343</v>
      </c>
      <c r="M277">
        <f ca="1">IF(L277&lt;=0,0,10^(MultiLogRegr1stWeek!$B$17+LOG10(L277)*MultiLogRegr1stWeek!$B$18+MultiLogRegr1stWeek!$B$19*14+MultiLogRegr1stWeek!$B$20*0))</f>
        <v>44.66101246836925</v>
      </c>
      <c r="U277">
        <v>275</v>
      </c>
      <c r="V277">
        <v>326</v>
      </c>
      <c r="W277">
        <v>158</v>
      </c>
    </row>
    <row r="278" spans="11:23" x14ac:dyDescent="0.3">
      <c r="K278">
        <v>277</v>
      </c>
      <c r="L278">
        <f t="shared" ca="1" si="6"/>
        <v>155.71784396216376</v>
      </c>
      <c r="M278">
        <f ca="1">IF(L278&lt;=0,0,10^(MultiLogRegr1stWeek!$B$17+LOG10(L278)*MultiLogRegr1stWeek!$B$18+MultiLogRegr1stWeek!$B$19*14+MultiLogRegr1stWeek!$B$20*0))</f>
        <v>68.899434507475604</v>
      </c>
      <c r="U278">
        <v>276</v>
      </c>
      <c r="V278">
        <v>322</v>
      </c>
      <c r="W278">
        <v>157</v>
      </c>
    </row>
    <row r="279" spans="11:23" x14ac:dyDescent="0.3">
      <c r="K279">
        <v>278</v>
      </c>
      <c r="L279">
        <f t="shared" ca="1" si="6"/>
        <v>419.41928346891495</v>
      </c>
      <c r="M279">
        <f ca="1">IF(L279&lt;=0,0,10^(MultiLogRegr1stWeek!$B$17+LOG10(L279)*MultiLogRegr1stWeek!$B$18+MultiLogRegr1stWeek!$B$19*14+MultiLogRegr1stWeek!$B$20*0))</f>
        <v>189.5013848281221</v>
      </c>
      <c r="U279">
        <v>277</v>
      </c>
      <c r="V279">
        <v>340</v>
      </c>
      <c r="W279">
        <v>164</v>
      </c>
    </row>
    <row r="280" spans="11:23" x14ac:dyDescent="0.3">
      <c r="K280">
        <v>279</v>
      </c>
      <c r="L280">
        <f t="shared" ca="1" si="6"/>
        <v>-204.05296882865514</v>
      </c>
      <c r="M280">
        <f ca="1">IF(L280&lt;=0,0,10^(MultiLogRegr1stWeek!$B$17+LOG10(L280)*MultiLogRegr1stWeek!$B$18+MultiLogRegr1stWeek!$B$19*14+MultiLogRegr1stWeek!$B$20*0))</f>
        <v>0</v>
      </c>
      <c r="U280">
        <v>278</v>
      </c>
      <c r="V280">
        <v>337</v>
      </c>
      <c r="W280">
        <v>162</v>
      </c>
    </row>
    <row r="281" spans="11:23" x14ac:dyDescent="0.3">
      <c r="K281">
        <v>280</v>
      </c>
      <c r="L281">
        <f t="shared" ca="1" si="6"/>
        <v>7.42184919732955</v>
      </c>
      <c r="M281">
        <f ca="1">IF(L281&lt;=0,0,10^(MultiLogRegr1stWeek!$B$17+LOG10(L281)*MultiLogRegr1stWeek!$B$18+MultiLogRegr1stWeek!$B$19*14+MultiLogRegr1stWeek!$B$20*0))</f>
        <v>3.0794759739775199</v>
      </c>
      <c r="U281">
        <v>279</v>
      </c>
      <c r="V281">
        <v>338</v>
      </c>
      <c r="W281">
        <v>162</v>
      </c>
    </row>
    <row r="282" spans="11:23" x14ac:dyDescent="0.3">
      <c r="K282">
        <v>281</v>
      </c>
      <c r="L282">
        <f t="shared" ca="1" si="6"/>
        <v>379.53327364391566</v>
      </c>
      <c r="M282">
        <f ca="1">IF(L282&lt;=0,0,10^(MultiLogRegr1stWeek!$B$17+LOG10(L282)*MultiLogRegr1stWeek!$B$18+MultiLogRegr1stWeek!$B$19*14+MultiLogRegr1stWeek!$B$20*0))</f>
        <v>171.11867844821839</v>
      </c>
      <c r="U282">
        <v>280</v>
      </c>
      <c r="V282">
        <v>347</v>
      </c>
      <c r="W282">
        <v>165</v>
      </c>
    </row>
    <row r="283" spans="11:23" x14ac:dyDescent="0.3">
      <c r="K283">
        <v>282</v>
      </c>
      <c r="L283">
        <f t="shared" ca="1" si="6"/>
        <v>535.05136849174414</v>
      </c>
      <c r="M283">
        <f ca="1">IF(L283&lt;=0,0,10^(MultiLogRegr1stWeek!$B$17+LOG10(L283)*MultiLogRegr1stWeek!$B$18+MultiLogRegr1stWeek!$B$19*14+MultiLogRegr1stWeek!$B$20*0))</f>
        <v>242.99229370571297</v>
      </c>
      <c r="U283">
        <v>281</v>
      </c>
      <c r="V283">
        <v>348</v>
      </c>
      <c r="W283">
        <v>168</v>
      </c>
    </row>
    <row r="284" spans="11:23" x14ac:dyDescent="0.3">
      <c r="K284">
        <v>283</v>
      </c>
      <c r="L284">
        <f t="shared" ca="1" si="6"/>
        <v>374.55202825552004</v>
      </c>
      <c r="M284">
        <f ca="1">IF(L284&lt;=0,0,10^(MultiLogRegr1stWeek!$B$17+LOG10(L284)*MultiLogRegr1stWeek!$B$18+MultiLogRegr1stWeek!$B$19*14+MultiLogRegr1stWeek!$B$20*0))</f>
        <v>168.82569762770569</v>
      </c>
      <c r="U284">
        <v>282</v>
      </c>
      <c r="V284">
        <v>331</v>
      </c>
      <c r="W284">
        <v>159</v>
      </c>
    </row>
    <row r="285" spans="11:23" x14ac:dyDescent="0.3">
      <c r="K285">
        <v>284</v>
      </c>
      <c r="L285">
        <f t="shared" ca="1" si="6"/>
        <v>106.92771637081404</v>
      </c>
      <c r="M285">
        <f ca="1">IF(L285&lt;=0,0,10^(MultiLogRegr1stWeek!$B$17+LOG10(L285)*MultiLogRegr1stWeek!$B$18+MultiLogRegr1stWeek!$B$19*14+MultiLogRegr1stWeek!$B$20*0))</f>
        <v>46.937538409893662</v>
      </c>
      <c r="U285">
        <v>283</v>
      </c>
      <c r="V285">
        <v>348</v>
      </c>
      <c r="W285">
        <v>166</v>
      </c>
    </row>
    <row r="286" spans="11:23" x14ac:dyDescent="0.3">
      <c r="K286">
        <v>285</v>
      </c>
      <c r="L286">
        <f t="shared" ca="1" si="6"/>
        <v>531.72959213453203</v>
      </c>
      <c r="M286">
        <f ca="1">IF(L286&lt;=0,0,10^(MultiLogRegr1stWeek!$B$17+LOG10(L286)*MultiLogRegr1stWeek!$B$18+MultiLogRegr1stWeek!$B$19*14+MultiLogRegr1stWeek!$B$20*0))</f>
        <v>241.45196200109658</v>
      </c>
      <c r="U286">
        <v>284</v>
      </c>
      <c r="V286">
        <v>335</v>
      </c>
      <c r="W286">
        <v>161</v>
      </c>
    </row>
    <row r="287" spans="11:23" x14ac:dyDescent="0.3">
      <c r="K287">
        <v>286</v>
      </c>
      <c r="L287">
        <f t="shared" ca="1" si="6"/>
        <v>-128.4847002588711</v>
      </c>
      <c r="M287">
        <f ca="1">IF(L287&lt;=0,0,10^(MultiLogRegr1stWeek!$B$17+LOG10(L287)*MultiLogRegr1stWeek!$B$18+MultiLogRegr1stWeek!$B$19*14+MultiLogRegr1stWeek!$B$20*0))</f>
        <v>0</v>
      </c>
      <c r="U287">
        <v>285</v>
      </c>
      <c r="V287">
        <v>339</v>
      </c>
      <c r="W287">
        <v>163</v>
      </c>
    </row>
    <row r="288" spans="11:23" x14ac:dyDescent="0.3">
      <c r="K288">
        <v>287</v>
      </c>
      <c r="L288">
        <f t="shared" ca="1" si="6"/>
        <v>380.93227171557999</v>
      </c>
      <c r="M288">
        <f ca="1">IF(L288&lt;=0,0,10^(MultiLogRegr1stWeek!$B$17+LOG10(L288)*MultiLogRegr1stWeek!$B$18+MultiLogRegr1stWeek!$B$19*14+MultiLogRegr1stWeek!$B$20*0))</f>
        <v>171.76278383145208</v>
      </c>
      <c r="U288">
        <v>286</v>
      </c>
      <c r="V288">
        <v>338</v>
      </c>
      <c r="W288">
        <v>162</v>
      </c>
    </row>
    <row r="289" spans="11:23" x14ac:dyDescent="0.3">
      <c r="K289">
        <v>288</v>
      </c>
      <c r="L289">
        <f t="shared" ca="1" si="6"/>
        <v>-361.27825588295059</v>
      </c>
      <c r="M289">
        <f ca="1">IF(L289&lt;=0,0,10^(MultiLogRegr1stWeek!$B$17+LOG10(L289)*MultiLogRegr1stWeek!$B$18+MultiLogRegr1stWeek!$B$19*14+MultiLogRegr1stWeek!$B$20*0))</f>
        <v>0</v>
      </c>
      <c r="U289">
        <v>287</v>
      </c>
      <c r="V289">
        <v>339</v>
      </c>
      <c r="W289">
        <v>163</v>
      </c>
    </row>
    <row r="290" spans="11:23" x14ac:dyDescent="0.3">
      <c r="K290">
        <v>289</v>
      </c>
      <c r="L290">
        <f t="shared" ca="1" si="6"/>
        <v>464.57603580396767</v>
      </c>
      <c r="M290">
        <f ca="1">IF(L290&lt;=0,0,10^(MultiLogRegr1stWeek!$B$17+LOG10(L290)*MultiLogRegr1stWeek!$B$18+MultiLogRegr1stWeek!$B$19*14+MultiLogRegr1stWeek!$B$20*0))</f>
        <v>210.35776896137455</v>
      </c>
      <c r="U290">
        <v>288</v>
      </c>
      <c r="V290">
        <v>328</v>
      </c>
      <c r="W290">
        <v>159</v>
      </c>
    </row>
    <row r="291" spans="11:23" x14ac:dyDescent="0.3">
      <c r="K291">
        <v>290</v>
      </c>
      <c r="L291">
        <f t="shared" ca="1" si="6"/>
        <v>503.24443204443446</v>
      </c>
      <c r="M291">
        <f ca="1">IF(L291&lt;=0,0,10^(MultiLogRegr1stWeek!$B$17+LOG10(L291)*MultiLogRegr1stWeek!$B$18+MultiLogRegr1stWeek!$B$19*14+MultiLogRegr1stWeek!$B$20*0))</f>
        <v>228.25166160000984</v>
      </c>
      <c r="U291">
        <v>289</v>
      </c>
      <c r="V291">
        <v>348</v>
      </c>
      <c r="W291">
        <v>165</v>
      </c>
    </row>
    <row r="292" spans="11:23" x14ac:dyDescent="0.3">
      <c r="K292">
        <v>291</v>
      </c>
      <c r="L292">
        <f t="shared" ca="1" si="6"/>
        <v>717.20844620309981</v>
      </c>
      <c r="M292">
        <f ca="1">IF(L292&lt;=0,0,10^(MultiLogRegr1stWeek!$B$17+LOG10(L292)*MultiLogRegr1stWeek!$B$18+MultiLogRegr1stWeek!$B$19*14+MultiLogRegr1stWeek!$B$20*0))</f>
        <v>327.74004757654626</v>
      </c>
      <c r="U292">
        <v>290</v>
      </c>
      <c r="V292">
        <v>331</v>
      </c>
      <c r="W292">
        <v>159</v>
      </c>
    </row>
    <row r="293" spans="11:23" x14ac:dyDescent="0.3">
      <c r="K293">
        <v>292</v>
      </c>
      <c r="L293">
        <f t="shared" ca="1" si="6"/>
        <v>221.41312594166376</v>
      </c>
      <c r="M293">
        <f ca="1">IF(L293&lt;=0,0,10^(MultiLogRegr1stWeek!$B$17+LOG10(L293)*MultiLogRegr1stWeek!$B$18+MultiLogRegr1stWeek!$B$19*14+MultiLogRegr1stWeek!$B$20*0))</f>
        <v>98.69806532129158</v>
      </c>
      <c r="U293">
        <v>291</v>
      </c>
      <c r="V293">
        <v>345</v>
      </c>
      <c r="W293">
        <v>166</v>
      </c>
    </row>
    <row r="294" spans="11:23" x14ac:dyDescent="0.3">
      <c r="K294">
        <v>293</v>
      </c>
      <c r="L294">
        <f t="shared" ca="1" si="6"/>
        <v>802.58325681864585</v>
      </c>
      <c r="M294">
        <f ca="1">IF(L294&lt;=0,0,10^(MultiLogRegr1stWeek!$B$17+LOG10(L294)*MultiLogRegr1stWeek!$B$18+MultiLogRegr1stWeek!$B$19*14+MultiLogRegr1stWeek!$B$20*0))</f>
        <v>367.6255187229383</v>
      </c>
      <c r="U294">
        <v>292</v>
      </c>
      <c r="V294">
        <v>348</v>
      </c>
      <c r="W294">
        <v>166</v>
      </c>
    </row>
    <row r="295" spans="11:23" x14ac:dyDescent="0.3">
      <c r="K295">
        <v>294</v>
      </c>
      <c r="L295">
        <f t="shared" ca="1" si="6"/>
        <v>-34.769910161825521</v>
      </c>
      <c r="M295">
        <f ca="1">IF(L295&lt;=0,0,10^(MultiLogRegr1stWeek!$B$17+LOG10(L295)*MultiLogRegr1stWeek!$B$18+MultiLogRegr1stWeek!$B$19*14+MultiLogRegr1stWeek!$B$20*0))</f>
        <v>0</v>
      </c>
      <c r="U295">
        <v>293</v>
      </c>
      <c r="V295">
        <v>346</v>
      </c>
      <c r="W295">
        <v>164</v>
      </c>
    </row>
    <row r="296" spans="11:23" x14ac:dyDescent="0.3">
      <c r="K296">
        <v>295</v>
      </c>
      <c r="L296">
        <f t="shared" ca="1" si="6"/>
        <v>270.58335973445497</v>
      </c>
      <c r="M296">
        <f ca="1">IF(L296&lt;=0,0,10^(MultiLogRegr1stWeek!$B$17+LOG10(L296)*MultiLogRegr1stWeek!$B$18+MultiLogRegr1stWeek!$B$19*14+MultiLogRegr1stWeek!$B$20*0))</f>
        <v>121.12828712963093</v>
      </c>
      <c r="U296">
        <v>294</v>
      </c>
      <c r="V296">
        <v>351</v>
      </c>
      <c r="W296">
        <v>168</v>
      </c>
    </row>
    <row r="297" spans="11:23" x14ac:dyDescent="0.3">
      <c r="K297">
        <v>296</v>
      </c>
      <c r="L297">
        <f t="shared" ca="1" si="6"/>
        <v>250.72085753391332</v>
      </c>
      <c r="M297">
        <f ca="1">IF(L297&lt;=0,0,10^(MultiLogRegr1stWeek!$B$17+LOG10(L297)*MultiLogRegr1stWeek!$B$18+MultiLogRegr1stWeek!$B$19*14+MultiLogRegr1stWeek!$B$20*0))</f>
        <v>112.05616861691357</v>
      </c>
      <c r="U297">
        <v>295</v>
      </c>
      <c r="V297">
        <v>362</v>
      </c>
      <c r="W297">
        <v>173</v>
      </c>
    </row>
    <row r="298" spans="11:23" x14ac:dyDescent="0.3">
      <c r="K298">
        <v>297</v>
      </c>
      <c r="L298">
        <f t="shared" ca="1" si="6"/>
        <v>1024.6752052945506</v>
      </c>
      <c r="M298">
        <f ca="1">IF(L298&lt;=0,0,10^(MultiLogRegr1stWeek!$B$17+LOG10(L298)*MultiLogRegr1stWeek!$B$18+MultiLogRegr1stWeek!$B$19*14+MultiLogRegr1stWeek!$B$20*0))</f>
        <v>471.78288340042729</v>
      </c>
      <c r="U298">
        <v>296</v>
      </c>
      <c r="V298">
        <v>337</v>
      </c>
      <c r="W298">
        <v>161</v>
      </c>
    </row>
    <row r="299" spans="11:23" x14ac:dyDescent="0.3">
      <c r="K299">
        <v>298</v>
      </c>
      <c r="L299">
        <f t="shared" ca="1" si="6"/>
        <v>392.21088551534461</v>
      </c>
      <c r="M299">
        <f ca="1">IF(L299&lt;=0,0,10^(MultiLogRegr1stWeek!$B$17+LOG10(L299)*MultiLogRegr1stWeek!$B$18+MultiLogRegr1stWeek!$B$19*14+MultiLogRegr1stWeek!$B$20*0))</f>
        <v>176.95732091681816</v>
      </c>
      <c r="U299">
        <v>297</v>
      </c>
      <c r="V299">
        <v>330</v>
      </c>
      <c r="W299">
        <v>158</v>
      </c>
    </row>
    <row r="300" spans="11:23" x14ac:dyDescent="0.3">
      <c r="K300">
        <v>299</v>
      </c>
      <c r="L300">
        <f t="shared" ca="1" si="6"/>
        <v>207.3682500705518</v>
      </c>
      <c r="M300">
        <f ca="1">IF(L300&lt;=0,0,10^(MultiLogRegr1stWeek!$B$17+LOG10(L300)*MultiLogRegr1stWeek!$B$18+MultiLogRegr1stWeek!$B$19*14+MultiLogRegr1stWeek!$B$20*0))</f>
        <v>92.309529027516419</v>
      </c>
      <c r="U300">
        <v>298</v>
      </c>
      <c r="V300">
        <v>341</v>
      </c>
      <c r="W300">
        <v>163</v>
      </c>
    </row>
    <row r="301" spans="11:23" x14ac:dyDescent="0.3">
      <c r="K301">
        <v>300</v>
      </c>
      <c r="L301">
        <f t="shared" ca="1" si="6"/>
        <v>-179.95794063061965</v>
      </c>
      <c r="M301">
        <f ca="1">IF(L301&lt;=0,0,10^(MultiLogRegr1stWeek!$B$17+LOG10(L301)*MultiLogRegr1stWeek!$B$18+MultiLogRegr1stWeek!$B$19*14+MultiLogRegr1stWeek!$B$20*0))</f>
        <v>0</v>
      </c>
      <c r="U301">
        <v>299</v>
      </c>
      <c r="V301">
        <v>345</v>
      </c>
      <c r="W301">
        <v>165</v>
      </c>
    </row>
    <row r="302" spans="11:23" x14ac:dyDescent="0.3">
      <c r="K302">
        <v>301</v>
      </c>
      <c r="L302">
        <f t="shared" ca="1" si="6"/>
        <v>748.8524861902647</v>
      </c>
      <c r="M302">
        <f ca="1">IF(L302&lt;=0,0,10^(MultiLogRegr1stWeek!$B$17+LOG10(L302)*MultiLogRegr1stWeek!$B$18+MultiLogRegr1stWeek!$B$19*14+MultiLogRegr1stWeek!$B$20*0))</f>
        <v>342.51243978423662</v>
      </c>
      <c r="U302">
        <v>300</v>
      </c>
      <c r="V302">
        <v>353</v>
      </c>
      <c r="W302">
        <v>169</v>
      </c>
    </row>
    <row r="303" spans="11:23" x14ac:dyDescent="0.3">
      <c r="K303">
        <v>302</v>
      </c>
      <c r="L303">
        <f t="shared" ca="1" si="6"/>
        <v>615.37473891196919</v>
      </c>
      <c r="M303">
        <f ca="1">IF(L303&lt;=0,0,10^(MultiLogRegr1stWeek!$B$17+LOG10(L303)*MultiLogRegr1stWeek!$B$18+MultiLogRegr1stWeek!$B$19*14+MultiLogRegr1stWeek!$B$20*0))</f>
        <v>280.2976142981874</v>
      </c>
      <c r="U303">
        <v>301</v>
      </c>
      <c r="V303">
        <v>338</v>
      </c>
      <c r="W303">
        <v>160</v>
      </c>
    </row>
    <row r="304" spans="11:23" x14ac:dyDescent="0.3">
      <c r="K304">
        <v>303</v>
      </c>
      <c r="L304">
        <f t="shared" ca="1" si="6"/>
        <v>167.4834590107825</v>
      </c>
      <c r="M304">
        <f ca="1">IF(L304&lt;=0,0,10^(MultiLogRegr1stWeek!$B$17+LOG10(L304)*MultiLogRegr1stWeek!$B$18+MultiLogRegr1stWeek!$B$19*14+MultiLogRegr1stWeek!$B$20*0))</f>
        <v>74.219357862311682</v>
      </c>
      <c r="U304">
        <v>302</v>
      </c>
      <c r="V304">
        <v>332</v>
      </c>
      <c r="W304">
        <v>159</v>
      </c>
    </row>
    <row r="305" spans="11:23" x14ac:dyDescent="0.3">
      <c r="K305">
        <v>304</v>
      </c>
      <c r="L305">
        <f t="shared" ca="1" si="6"/>
        <v>450.06101651403969</v>
      </c>
      <c r="M305">
        <f ca="1">IF(L305&lt;=0,0,10^(MultiLogRegr1stWeek!$B$17+LOG10(L305)*MultiLogRegr1stWeek!$B$18+MultiLogRegr1stWeek!$B$19*14+MultiLogRegr1stWeek!$B$20*0))</f>
        <v>203.64888984137269</v>
      </c>
      <c r="U305">
        <v>303</v>
      </c>
      <c r="V305">
        <v>351</v>
      </c>
      <c r="W305">
        <v>167</v>
      </c>
    </row>
    <row r="306" spans="11:23" x14ac:dyDescent="0.3">
      <c r="K306">
        <v>305</v>
      </c>
      <c r="L306">
        <f t="shared" ca="1" si="6"/>
        <v>176.83552276152523</v>
      </c>
      <c r="M306">
        <f ca="1">IF(L306&lt;=0,0,10^(MultiLogRegr1stWeek!$B$17+LOG10(L306)*MultiLogRegr1stWeek!$B$18+MultiLogRegr1stWeek!$B$19*14+MultiLogRegr1stWeek!$B$20*0))</f>
        <v>78.453637451212344</v>
      </c>
      <c r="U306">
        <v>304</v>
      </c>
      <c r="V306">
        <v>333</v>
      </c>
      <c r="W306">
        <v>160</v>
      </c>
    </row>
    <row r="307" spans="11:23" x14ac:dyDescent="0.3">
      <c r="K307">
        <v>306</v>
      </c>
      <c r="L307">
        <f t="shared" ca="1" si="6"/>
        <v>611.87159618469002</v>
      </c>
      <c r="M307">
        <f ca="1">IF(L307&lt;=0,0,10^(MultiLogRegr1stWeek!$B$17+LOG10(L307)*MultiLogRegr1stWeek!$B$18+MultiLogRegr1stWeek!$B$19*14+MultiLogRegr1stWeek!$B$20*0))</f>
        <v>278.66836783778786</v>
      </c>
      <c r="U307">
        <v>305</v>
      </c>
      <c r="V307">
        <v>336</v>
      </c>
      <c r="W307">
        <v>160</v>
      </c>
    </row>
    <row r="308" spans="11:23" x14ac:dyDescent="0.3">
      <c r="K308">
        <v>307</v>
      </c>
      <c r="L308">
        <f t="shared" ca="1" si="6"/>
        <v>1128.2013171342053</v>
      </c>
      <c r="M308">
        <f ca="1">IF(L308&lt;=0,0,10^(MultiLogRegr1stWeek!$B$17+LOG10(L308)*MultiLogRegr1stWeek!$B$18+MultiLogRegr1stWeek!$B$19*14+MultiLogRegr1stWeek!$B$20*0))</f>
        <v>520.50540114722105</v>
      </c>
      <c r="U308">
        <v>306</v>
      </c>
      <c r="V308">
        <v>354</v>
      </c>
      <c r="W308">
        <v>169</v>
      </c>
    </row>
    <row r="309" spans="11:23" x14ac:dyDescent="0.3">
      <c r="K309">
        <v>308</v>
      </c>
      <c r="L309">
        <f t="shared" ca="1" si="6"/>
        <v>557.11643150506552</v>
      </c>
      <c r="M309">
        <f ca="1">IF(L309&lt;=0,0,10^(MultiLogRegr1stWeek!$B$17+LOG10(L309)*MultiLogRegr1stWeek!$B$18+MultiLogRegr1stWeek!$B$19*14+MultiLogRegr1stWeek!$B$20*0))</f>
        <v>253.22909159426717</v>
      </c>
      <c r="U309">
        <v>307</v>
      </c>
      <c r="V309">
        <v>339</v>
      </c>
      <c r="W309">
        <v>161</v>
      </c>
    </row>
    <row r="310" spans="11:23" x14ac:dyDescent="0.3">
      <c r="K310">
        <v>309</v>
      </c>
      <c r="L310">
        <f t="shared" ca="1" si="6"/>
        <v>855.96168409348275</v>
      </c>
      <c r="M310">
        <f ca="1">IF(L310&lt;=0,0,10^(MultiLogRegr1stWeek!$B$17+LOG10(L310)*MultiLogRegr1stWeek!$B$18+MultiLogRegr1stWeek!$B$19*14+MultiLogRegr1stWeek!$B$20*0))</f>
        <v>392.60912668859589</v>
      </c>
      <c r="U310">
        <v>308</v>
      </c>
      <c r="V310">
        <v>347</v>
      </c>
      <c r="W310">
        <v>165</v>
      </c>
    </row>
    <row r="311" spans="11:23" x14ac:dyDescent="0.3">
      <c r="K311">
        <v>310</v>
      </c>
      <c r="L311">
        <f t="shared" ca="1" si="6"/>
        <v>523.09823182382911</v>
      </c>
      <c r="M311">
        <f ca="1">IF(L311&lt;=0,0,10^(MultiLogRegr1stWeek!$B$17+LOG10(L311)*MultiLogRegr1stWeek!$B$18+MultiLogRegr1stWeek!$B$19*14+MultiLogRegr1stWeek!$B$20*0))</f>
        <v>237.45049087618781</v>
      </c>
      <c r="U311">
        <v>309</v>
      </c>
      <c r="V311">
        <v>314</v>
      </c>
      <c r="W311">
        <v>150</v>
      </c>
    </row>
    <row r="312" spans="11:23" x14ac:dyDescent="0.3">
      <c r="K312">
        <v>311</v>
      </c>
      <c r="L312">
        <f t="shared" ca="1" si="6"/>
        <v>79.020117072295704</v>
      </c>
      <c r="M312">
        <f ca="1">IF(L312&lt;=0,0,10^(MultiLogRegr1stWeek!$B$17+LOG10(L312)*MultiLogRegr1stWeek!$B$18+MultiLogRegr1stWeek!$B$19*14+MultiLogRegr1stWeek!$B$20*0))</f>
        <v>34.466243782776473</v>
      </c>
      <c r="U312">
        <v>310</v>
      </c>
      <c r="V312">
        <v>333</v>
      </c>
      <c r="W312">
        <v>159</v>
      </c>
    </row>
    <row r="313" spans="11:23" x14ac:dyDescent="0.3">
      <c r="K313">
        <v>312</v>
      </c>
      <c r="L313">
        <f t="shared" ca="1" si="6"/>
        <v>35.67049281854338</v>
      </c>
      <c r="M313">
        <f ca="1">IF(L313&lt;=0,0,10^(MultiLogRegr1stWeek!$B$17+LOG10(L313)*MultiLogRegr1stWeek!$B$18+MultiLogRegr1stWeek!$B$19*14+MultiLogRegr1stWeek!$B$20*0))</f>
        <v>15.299283493623109</v>
      </c>
      <c r="U313">
        <v>311</v>
      </c>
      <c r="V313">
        <v>325</v>
      </c>
      <c r="W313">
        <v>156</v>
      </c>
    </row>
    <row r="314" spans="11:23" x14ac:dyDescent="0.3">
      <c r="K314">
        <v>313</v>
      </c>
      <c r="L314">
        <f t="shared" ca="1" si="6"/>
        <v>189.62386753723342</v>
      </c>
      <c r="M314">
        <f ca="1">IF(L314&lt;=0,0,10^(MultiLogRegr1stWeek!$B$17+LOG10(L314)*MultiLogRegr1stWeek!$B$18+MultiLogRegr1stWeek!$B$19*14+MultiLogRegr1stWeek!$B$20*0))</f>
        <v>84.251357095195104</v>
      </c>
      <c r="U314">
        <v>312</v>
      </c>
      <c r="V314">
        <v>331</v>
      </c>
      <c r="W314">
        <v>159</v>
      </c>
    </row>
    <row r="315" spans="11:23" x14ac:dyDescent="0.3">
      <c r="K315">
        <v>314</v>
      </c>
      <c r="L315">
        <f t="shared" ca="1" si="6"/>
        <v>430.19457506899295</v>
      </c>
      <c r="M315">
        <f ca="1">IF(L315&lt;=0,0,10^(MultiLogRegr1stWeek!$B$17+LOG10(L315)*MultiLogRegr1stWeek!$B$18+MultiLogRegr1stWeek!$B$19*14+MultiLogRegr1stWeek!$B$20*0))</f>
        <v>194.47400410658668</v>
      </c>
      <c r="U315">
        <v>313</v>
      </c>
      <c r="V315">
        <v>336</v>
      </c>
      <c r="W315">
        <v>161</v>
      </c>
    </row>
    <row r="316" spans="11:23" x14ac:dyDescent="0.3">
      <c r="K316">
        <v>315</v>
      </c>
      <c r="L316">
        <f t="shared" ca="1" si="6"/>
        <v>300.0636313093749</v>
      </c>
      <c r="M316">
        <f ca="1">IF(L316&lt;=0,0,10^(MultiLogRegr1stWeek!$B$17+LOG10(L316)*MultiLogRegr1stWeek!$B$18+MultiLogRegr1stWeek!$B$19*14+MultiLogRegr1stWeek!$B$20*0))</f>
        <v>134.61896580155471</v>
      </c>
      <c r="U316">
        <v>314</v>
      </c>
      <c r="V316">
        <v>325</v>
      </c>
      <c r="W316">
        <v>155</v>
      </c>
    </row>
    <row r="317" spans="11:23" x14ac:dyDescent="0.3">
      <c r="K317">
        <v>316</v>
      </c>
      <c r="L317">
        <f t="shared" ca="1" si="6"/>
        <v>490.04229279056653</v>
      </c>
      <c r="M317">
        <f ca="1">IF(L317&lt;=0,0,10^(MultiLogRegr1stWeek!$B$17+LOG10(L317)*MultiLogRegr1stWeek!$B$18+MultiLogRegr1stWeek!$B$19*14+MultiLogRegr1stWeek!$B$20*0))</f>
        <v>222.13895861345441</v>
      </c>
      <c r="U317">
        <v>315</v>
      </c>
      <c r="V317">
        <v>336</v>
      </c>
      <c r="W317">
        <v>161</v>
      </c>
    </row>
    <row r="318" spans="11:23" x14ac:dyDescent="0.3">
      <c r="K318">
        <v>317</v>
      </c>
      <c r="L318">
        <f t="shared" ca="1" si="6"/>
        <v>310.32629172374004</v>
      </c>
      <c r="M318">
        <f ca="1">IF(L318&lt;=0,0,10^(MultiLogRegr1stWeek!$B$17+LOG10(L318)*MultiLogRegr1stWeek!$B$18+MultiLogRegr1stWeek!$B$19*14+MultiLogRegr1stWeek!$B$20*0))</f>
        <v>139.32205589311076</v>
      </c>
      <c r="U318">
        <v>316</v>
      </c>
      <c r="V318">
        <v>320</v>
      </c>
      <c r="W318">
        <v>153</v>
      </c>
    </row>
    <row r="319" spans="11:23" x14ac:dyDescent="0.3">
      <c r="K319">
        <v>318</v>
      </c>
      <c r="L319">
        <f t="shared" ca="1" si="6"/>
        <v>443.64685187034826</v>
      </c>
      <c r="M319">
        <f ca="1">IF(L319&lt;=0,0,10^(MultiLogRegr1stWeek!$B$17+LOG10(L319)*MultiLogRegr1stWeek!$B$18+MultiLogRegr1stWeek!$B$19*14+MultiLogRegr1stWeek!$B$20*0))</f>
        <v>200.68569327028356</v>
      </c>
      <c r="U319">
        <v>317</v>
      </c>
      <c r="V319">
        <v>348</v>
      </c>
      <c r="W319">
        <v>167</v>
      </c>
    </row>
    <row r="320" spans="11:23" x14ac:dyDescent="0.3">
      <c r="K320">
        <v>319</v>
      </c>
      <c r="L320">
        <f t="shared" ca="1" si="6"/>
        <v>341.13564321964986</v>
      </c>
      <c r="M320">
        <f ca="1">IF(L320&lt;=0,0,10^(MultiLogRegr1stWeek!$B$17+LOG10(L320)*MultiLogRegr1stWeek!$B$18+MultiLogRegr1stWeek!$B$19*14+MultiLogRegr1stWeek!$B$20*0))</f>
        <v>153.46045334699366</v>
      </c>
      <c r="U320">
        <v>318</v>
      </c>
      <c r="V320">
        <v>327</v>
      </c>
      <c r="W320">
        <v>158</v>
      </c>
    </row>
    <row r="321" spans="11:23" x14ac:dyDescent="0.3">
      <c r="K321">
        <v>320</v>
      </c>
      <c r="L321">
        <f t="shared" ca="1" si="6"/>
        <v>446.77462060498902</v>
      </c>
      <c r="M321">
        <f ca="1">IF(L321&lt;=0,0,10^(MultiLogRegr1stWeek!$B$17+LOG10(L321)*MultiLogRegr1stWeek!$B$18+MultiLogRegr1stWeek!$B$19*14+MultiLogRegr1stWeek!$B$20*0))</f>
        <v>202.13053829179458</v>
      </c>
      <c r="U321">
        <v>319</v>
      </c>
      <c r="V321">
        <v>348</v>
      </c>
      <c r="W321">
        <v>167</v>
      </c>
    </row>
    <row r="322" spans="11:23" x14ac:dyDescent="0.3">
      <c r="K322">
        <v>321</v>
      </c>
      <c r="L322">
        <f t="shared" ca="1" si="6"/>
        <v>523.72859750902091</v>
      </c>
      <c r="M322">
        <f ca="1">IF(L322&lt;=0,0,10^(MultiLogRegr1stWeek!$B$17+LOG10(L322)*MultiLogRegr1stWeek!$B$18+MultiLogRegr1stWeek!$B$19*14+MultiLogRegr1stWeek!$B$20*0))</f>
        <v>237.74267948264358</v>
      </c>
      <c r="U322">
        <v>320</v>
      </c>
      <c r="V322">
        <v>330</v>
      </c>
      <c r="W322">
        <v>160</v>
      </c>
    </row>
    <row r="323" spans="11:23" x14ac:dyDescent="0.3">
      <c r="K323">
        <v>322</v>
      </c>
      <c r="L323">
        <f t="shared" ref="L323:L386" ca="1" si="7">_xlfn.NORM.INV(RAND(),$S$3,$S$2)</f>
        <v>76.180146169707825</v>
      </c>
      <c r="M323">
        <f ca="1">IF(L323&lt;=0,0,10^(MultiLogRegr1stWeek!$B$17+LOG10(L323)*MultiLogRegr1stWeek!$B$18+MultiLogRegr1stWeek!$B$19*14+MultiLogRegr1stWeek!$B$20*0))</f>
        <v>33.20186049160889</v>
      </c>
      <c r="U323">
        <v>321</v>
      </c>
      <c r="V323">
        <v>333</v>
      </c>
      <c r="W323">
        <v>160</v>
      </c>
    </row>
    <row r="324" spans="11:23" x14ac:dyDescent="0.3">
      <c r="K324">
        <v>323</v>
      </c>
      <c r="L324">
        <f t="shared" ca="1" si="7"/>
        <v>227.70699916746179</v>
      </c>
      <c r="M324">
        <f ca="1">IF(L324&lt;=0,0,10^(MultiLogRegr1stWeek!$B$17+LOG10(L324)*MultiLogRegr1stWeek!$B$18+MultiLogRegr1stWeek!$B$19*14+MultiLogRegr1stWeek!$B$20*0))</f>
        <v>101.56374583806064</v>
      </c>
      <c r="U324">
        <v>322</v>
      </c>
      <c r="V324">
        <v>348</v>
      </c>
      <c r="W324">
        <v>166</v>
      </c>
    </row>
    <row r="325" spans="11:23" x14ac:dyDescent="0.3">
      <c r="K325">
        <v>324</v>
      </c>
      <c r="L325">
        <f t="shared" ca="1" si="7"/>
        <v>945.93521333703416</v>
      </c>
      <c r="M325">
        <f ca="1">IF(L325&lt;=0,0,10^(MultiLogRegr1stWeek!$B$17+LOG10(L325)*MultiLogRegr1stWeek!$B$18+MultiLogRegr1stWeek!$B$19*14+MultiLogRegr1stWeek!$B$20*0))</f>
        <v>434.79453075673496</v>
      </c>
      <c r="U325">
        <v>323</v>
      </c>
      <c r="V325">
        <v>346</v>
      </c>
      <c r="W325">
        <v>165</v>
      </c>
    </row>
    <row r="326" spans="11:23" x14ac:dyDescent="0.3">
      <c r="K326">
        <v>325</v>
      </c>
      <c r="L326">
        <f t="shared" ca="1" si="7"/>
        <v>607.76048113347906</v>
      </c>
      <c r="M326">
        <f ca="1">IF(L326&lt;=0,0,10^(MultiLogRegr1stWeek!$B$17+LOG10(L326)*MultiLogRegr1stWeek!$B$18+MultiLogRegr1stWeek!$B$19*14+MultiLogRegr1stWeek!$B$20*0))</f>
        <v>276.75661605516996</v>
      </c>
      <c r="U326">
        <v>324</v>
      </c>
      <c r="V326">
        <v>354</v>
      </c>
      <c r="W326">
        <v>167</v>
      </c>
    </row>
    <row r="327" spans="11:23" x14ac:dyDescent="0.3">
      <c r="K327">
        <v>326</v>
      </c>
      <c r="L327">
        <f t="shared" ca="1" si="7"/>
        <v>738.09585661399183</v>
      </c>
      <c r="M327">
        <f ca="1">IF(L327&lt;=0,0,10^(MultiLogRegr1stWeek!$B$17+LOG10(L327)*MultiLogRegr1stWeek!$B$18+MultiLogRegr1stWeek!$B$19*14+MultiLogRegr1stWeek!$B$20*0))</f>
        <v>337.48941321924474</v>
      </c>
      <c r="U327">
        <v>325</v>
      </c>
      <c r="V327">
        <v>318</v>
      </c>
      <c r="W327">
        <v>154</v>
      </c>
    </row>
    <row r="328" spans="11:23" x14ac:dyDescent="0.3">
      <c r="K328">
        <v>327</v>
      </c>
      <c r="L328">
        <f t="shared" ca="1" si="7"/>
        <v>185.10767641569851</v>
      </c>
      <c r="M328">
        <f ca="1">IF(L328&lt;=0,0,10^(MultiLogRegr1stWeek!$B$17+LOG10(L328)*MultiLogRegr1stWeek!$B$18+MultiLogRegr1stWeek!$B$19*14+MultiLogRegr1stWeek!$B$20*0))</f>
        <v>82.202925311401344</v>
      </c>
      <c r="U328">
        <v>326</v>
      </c>
      <c r="V328">
        <v>348</v>
      </c>
      <c r="W328">
        <v>166</v>
      </c>
    </row>
    <row r="329" spans="11:23" x14ac:dyDescent="0.3">
      <c r="K329">
        <v>328</v>
      </c>
      <c r="L329">
        <f t="shared" ca="1" si="7"/>
        <v>436.28538709019011</v>
      </c>
      <c r="M329">
        <f ca="1">IF(L329&lt;=0,0,10^(MultiLogRegr1stWeek!$B$17+LOG10(L329)*MultiLogRegr1stWeek!$B$18+MultiLogRegr1stWeek!$B$19*14+MultiLogRegr1stWeek!$B$20*0))</f>
        <v>197.28598141795356</v>
      </c>
      <c r="U329">
        <v>327</v>
      </c>
      <c r="V329">
        <v>348</v>
      </c>
      <c r="W329">
        <v>166</v>
      </c>
    </row>
    <row r="330" spans="11:23" x14ac:dyDescent="0.3">
      <c r="K330">
        <v>329</v>
      </c>
      <c r="L330">
        <f t="shared" ca="1" si="7"/>
        <v>490.23340849780209</v>
      </c>
      <c r="M330">
        <f ca="1">IF(L330&lt;=0,0,10^(MultiLogRegr1stWeek!$B$17+LOG10(L330)*MultiLogRegr1stWeek!$B$18+MultiLogRegr1stWeek!$B$19*14+MultiLogRegr1stWeek!$B$20*0))</f>
        <v>222.22742223376568</v>
      </c>
      <c r="U330">
        <v>328</v>
      </c>
      <c r="V330">
        <v>332</v>
      </c>
      <c r="W330">
        <v>159</v>
      </c>
    </row>
    <row r="331" spans="11:23" x14ac:dyDescent="0.3">
      <c r="K331">
        <v>330</v>
      </c>
      <c r="L331">
        <f t="shared" ca="1" si="7"/>
        <v>549.62832036019154</v>
      </c>
      <c r="M331">
        <f ca="1">IF(L331&lt;=0,0,10^(MultiLogRegr1stWeek!$B$17+LOG10(L331)*MultiLogRegr1stWeek!$B$18+MultiLogRegr1stWeek!$B$19*14+MultiLogRegr1stWeek!$B$20*0))</f>
        <v>249.75410308366571</v>
      </c>
      <c r="U331">
        <v>329</v>
      </c>
      <c r="V331">
        <v>347</v>
      </c>
      <c r="W331">
        <v>164</v>
      </c>
    </row>
    <row r="332" spans="11:23" x14ac:dyDescent="0.3">
      <c r="K332">
        <v>331</v>
      </c>
      <c r="L332">
        <f t="shared" ca="1" si="7"/>
        <v>774.16116152070663</v>
      </c>
      <c r="M332">
        <f ca="1">IF(L332&lt;=0,0,10^(MultiLogRegr1stWeek!$B$17+LOG10(L332)*MultiLogRegr1stWeek!$B$18+MultiLogRegr1stWeek!$B$19*14+MultiLogRegr1stWeek!$B$20*0))</f>
        <v>354.33681281024411</v>
      </c>
      <c r="U332">
        <v>330</v>
      </c>
      <c r="V332">
        <v>352</v>
      </c>
      <c r="W332">
        <v>168</v>
      </c>
    </row>
    <row r="333" spans="11:23" x14ac:dyDescent="0.3">
      <c r="K333">
        <v>332</v>
      </c>
      <c r="L333">
        <f t="shared" ca="1" si="7"/>
        <v>730.47669868870082</v>
      </c>
      <c r="M333">
        <f ca="1">IF(L333&lt;=0,0,10^(MultiLogRegr1stWeek!$B$17+LOG10(L333)*MultiLogRegr1stWeek!$B$18+MultiLogRegr1stWeek!$B$19*14+MultiLogRegr1stWeek!$B$20*0))</f>
        <v>333.93242656898008</v>
      </c>
      <c r="U333">
        <v>331</v>
      </c>
      <c r="V333">
        <v>325</v>
      </c>
      <c r="W333">
        <v>157</v>
      </c>
    </row>
    <row r="334" spans="11:23" x14ac:dyDescent="0.3">
      <c r="K334">
        <v>333</v>
      </c>
      <c r="L334">
        <f t="shared" ca="1" si="7"/>
        <v>196.34564117813852</v>
      </c>
      <c r="M334">
        <f ca="1">IF(L334&lt;=0,0,10^(MultiLogRegr1stWeek!$B$17+LOG10(L334)*MultiLogRegr1stWeek!$B$18+MultiLogRegr1stWeek!$B$19*14+MultiLogRegr1stWeek!$B$20*0))</f>
        <v>87.302087461267817</v>
      </c>
      <c r="U334">
        <v>332</v>
      </c>
      <c r="V334">
        <v>332</v>
      </c>
      <c r="W334">
        <v>160</v>
      </c>
    </row>
    <row r="335" spans="11:23" x14ac:dyDescent="0.3">
      <c r="K335">
        <v>334</v>
      </c>
      <c r="L335">
        <f t="shared" ca="1" si="7"/>
        <v>57.332691913394285</v>
      </c>
      <c r="M335">
        <f ca="1">IF(L335&lt;=0,0,10^(MultiLogRegr1stWeek!$B$17+LOG10(L335)*MultiLogRegr1stWeek!$B$18+MultiLogRegr1stWeek!$B$19*14+MultiLogRegr1stWeek!$B$20*0))</f>
        <v>24.8379827187762</v>
      </c>
      <c r="U335">
        <v>333</v>
      </c>
      <c r="V335">
        <v>333</v>
      </c>
      <c r="W335">
        <v>159</v>
      </c>
    </row>
    <row r="336" spans="11:23" x14ac:dyDescent="0.3">
      <c r="K336">
        <v>335</v>
      </c>
      <c r="L336">
        <f t="shared" ca="1" si="7"/>
        <v>904.62878863966046</v>
      </c>
      <c r="M336">
        <f ca="1">IF(L336&lt;=0,0,10^(MultiLogRegr1stWeek!$B$17+LOG10(L336)*MultiLogRegr1stWeek!$B$18+MultiLogRegr1stWeek!$B$19*14+MultiLogRegr1stWeek!$B$20*0))</f>
        <v>415.41637426351167</v>
      </c>
      <c r="U336">
        <v>334</v>
      </c>
      <c r="V336">
        <v>342</v>
      </c>
      <c r="W336">
        <v>165</v>
      </c>
    </row>
    <row r="337" spans="11:23" x14ac:dyDescent="0.3">
      <c r="K337">
        <v>336</v>
      </c>
      <c r="L337">
        <f t="shared" ca="1" si="7"/>
        <v>80.604927924335016</v>
      </c>
      <c r="M337">
        <f ca="1">IF(L337&lt;=0,0,10^(MultiLogRegr1stWeek!$B$17+LOG10(L337)*MultiLogRegr1stWeek!$B$18+MultiLogRegr1stWeek!$B$19*14+MultiLogRegr1stWeek!$B$20*0))</f>
        <v>35.172236875710304</v>
      </c>
      <c r="U337">
        <v>335</v>
      </c>
      <c r="V337">
        <v>350</v>
      </c>
      <c r="W337">
        <v>168</v>
      </c>
    </row>
    <row r="338" spans="11:23" x14ac:dyDescent="0.3">
      <c r="K338">
        <v>337</v>
      </c>
      <c r="L338">
        <f t="shared" ca="1" si="7"/>
        <v>516.35735733250499</v>
      </c>
      <c r="M338">
        <f ca="1">IF(L338&lt;=0,0,10^(MultiLogRegr1stWeek!$B$17+LOG10(L338)*MultiLogRegr1stWeek!$B$18+MultiLogRegr1stWeek!$B$19*14+MultiLogRegr1stWeek!$B$20*0))</f>
        <v>234.32641130464887</v>
      </c>
      <c r="U338">
        <v>336</v>
      </c>
      <c r="V338">
        <v>348</v>
      </c>
      <c r="W338">
        <v>165</v>
      </c>
    </row>
    <row r="339" spans="11:23" x14ac:dyDescent="0.3">
      <c r="K339">
        <v>338</v>
      </c>
      <c r="L339">
        <f t="shared" ca="1" si="7"/>
        <v>544.41100052072284</v>
      </c>
      <c r="M339">
        <f ca="1">IF(L339&lt;=0,0,10^(MultiLogRegr1stWeek!$B$17+LOG10(L339)*MultiLogRegr1stWeek!$B$18+MultiLogRegr1stWeek!$B$19*14+MultiLogRegr1stWeek!$B$20*0))</f>
        <v>247.3335049373394</v>
      </c>
      <c r="U339">
        <v>337</v>
      </c>
      <c r="V339">
        <v>359</v>
      </c>
      <c r="W339">
        <v>171</v>
      </c>
    </row>
    <row r="340" spans="11:23" x14ac:dyDescent="0.3">
      <c r="K340">
        <v>339</v>
      </c>
      <c r="L340">
        <f t="shared" ca="1" si="7"/>
        <v>117.26033125812526</v>
      </c>
      <c r="M340">
        <f ca="1">IF(L340&lt;=0,0,10^(MultiLogRegr1stWeek!$B$17+LOG10(L340)*MultiLogRegr1stWeek!$B$18+MultiLogRegr1stWeek!$B$19*14+MultiLogRegr1stWeek!$B$20*0))</f>
        <v>51.573557090832715</v>
      </c>
      <c r="U340">
        <v>338</v>
      </c>
      <c r="V340">
        <v>337</v>
      </c>
      <c r="W340">
        <v>163</v>
      </c>
    </row>
    <row r="341" spans="11:23" x14ac:dyDescent="0.3">
      <c r="K341">
        <v>340</v>
      </c>
      <c r="L341">
        <f t="shared" ca="1" si="7"/>
        <v>429.09077666237022</v>
      </c>
      <c r="M341">
        <f ca="1">IF(L341&lt;=0,0,10^(MultiLogRegr1stWeek!$B$17+LOG10(L341)*MultiLogRegr1stWeek!$B$18+MultiLogRegr1stWeek!$B$19*14+MultiLogRegr1stWeek!$B$20*0))</f>
        <v>193.96449730685717</v>
      </c>
      <c r="U341">
        <v>339</v>
      </c>
      <c r="V341">
        <v>327</v>
      </c>
      <c r="W341">
        <v>157</v>
      </c>
    </row>
    <row r="342" spans="11:23" x14ac:dyDescent="0.3">
      <c r="K342">
        <v>341</v>
      </c>
      <c r="L342">
        <f t="shared" ca="1" si="7"/>
        <v>-472.39292397377938</v>
      </c>
      <c r="M342">
        <f ca="1">IF(L342&lt;=0,0,10^(MultiLogRegr1stWeek!$B$17+LOG10(L342)*MultiLogRegr1stWeek!$B$18+MultiLogRegr1stWeek!$B$19*14+MultiLogRegr1stWeek!$B$20*0))</f>
        <v>0</v>
      </c>
      <c r="U342">
        <v>340</v>
      </c>
      <c r="V342">
        <v>338</v>
      </c>
      <c r="W342">
        <v>162</v>
      </c>
    </row>
    <row r="343" spans="11:23" x14ac:dyDescent="0.3">
      <c r="K343">
        <v>342</v>
      </c>
      <c r="L343">
        <f t="shared" ca="1" si="7"/>
        <v>396.91916685678444</v>
      </c>
      <c r="M343">
        <f ca="1">IF(L343&lt;=0,0,10^(MultiLogRegr1stWeek!$B$17+LOG10(L343)*MultiLogRegr1stWeek!$B$18+MultiLogRegr1stWeek!$B$19*14+MultiLogRegr1stWeek!$B$20*0))</f>
        <v>179.12673020693865</v>
      </c>
      <c r="U343">
        <v>341</v>
      </c>
      <c r="V343">
        <v>341</v>
      </c>
      <c r="W343">
        <v>163</v>
      </c>
    </row>
    <row r="344" spans="11:23" x14ac:dyDescent="0.3">
      <c r="K344">
        <v>343</v>
      </c>
      <c r="L344">
        <f t="shared" ca="1" si="7"/>
        <v>234.17212916546436</v>
      </c>
      <c r="M344">
        <f ca="1">IF(L344&lt;=0,0,10^(MultiLogRegr1stWeek!$B$17+LOG10(L344)*MultiLogRegr1stWeek!$B$18+MultiLogRegr1stWeek!$B$19*14+MultiLogRegr1stWeek!$B$20*0))</f>
        <v>104.50914354550785</v>
      </c>
      <c r="U344">
        <v>342</v>
      </c>
      <c r="V344">
        <v>328</v>
      </c>
      <c r="W344">
        <v>157</v>
      </c>
    </row>
    <row r="345" spans="11:23" x14ac:dyDescent="0.3">
      <c r="K345">
        <v>344</v>
      </c>
      <c r="L345">
        <f t="shared" ca="1" si="7"/>
        <v>673.52231200045662</v>
      </c>
      <c r="M345">
        <f ca="1">IF(L345&lt;=0,0,10^(MultiLogRegr1stWeek!$B$17+LOG10(L345)*MultiLogRegr1stWeek!$B$18+MultiLogRegr1stWeek!$B$19*14+MultiLogRegr1stWeek!$B$20*0))</f>
        <v>307.36878344648312</v>
      </c>
      <c r="U345">
        <v>343</v>
      </c>
      <c r="V345">
        <v>353</v>
      </c>
      <c r="W345">
        <v>167</v>
      </c>
    </row>
    <row r="346" spans="11:23" x14ac:dyDescent="0.3">
      <c r="K346">
        <v>345</v>
      </c>
      <c r="L346">
        <f t="shared" ca="1" si="7"/>
        <v>-322.66572405898626</v>
      </c>
      <c r="M346">
        <f ca="1">IF(L346&lt;=0,0,10^(MultiLogRegr1stWeek!$B$17+LOG10(L346)*MultiLogRegr1stWeek!$B$18+MultiLogRegr1stWeek!$B$19*14+MultiLogRegr1stWeek!$B$20*0))</f>
        <v>0</v>
      </c>
      <c r="U346">
        <v>344</v>
      </c>
      <c r="V346">
        <v>348</v>
      </c>
      <c r="W346">
        <v>166</v>
      </c>
    </row>
    <row r="347" spans="11:23" x14ac:dyDescent="0.3">
      <c r="K347">
        <v>346</v>
      </c>
      <c r="L347">
        <f t="shared" ca="1" si="7"/>
        <v>114.11095109669338</v>
      </c>
      <c r="M347">
        <f ca="1">IF(L347&lt;=0,0,10^(MultiLogRegr1stWeek!$B$17+LOG10(L347)*MultiLogRegr1stWeek!$B$18+MultiLogRegr1stWeek!$B$19*14+MultiLogRegr1stWeek!$B$20*0))</f>
        <v>50.159548135379623</v>
      </c>
      <c r="U347">
        <v>345</v>
      </c>
      <c r="V347">
        <v>343</v>
      </c>
      <c r="W347">
        <v>164</v>
      </c>
    </row>
    <row r="348" spans="11:23" x14ac:dyDescent="0.3">
      <c r="K348">
        <v>347</v>
      </c>
      <c r="L348">
        <f t="shared" ca="1" si="7"/>
        <v>497.99514463728917</v>
      </c>
      <c r="M348">
        <f ca="1">IF(L348&lt;=0,0,10^(MultiLogRegr1stWeek!$B$17+LOG10(L348)*MultiLogRegr1stWeek!$B$18+MultiLogRegr1stWeek!$B$19*14+MultiLogRegr1stWeek!$B$20*0))</f>
        <v>225.82078622161566</v>
      </c>
      <c r="U348">
        <v>346</v>
      </c>
      <c r="V348">
        <v>339</v>
      </c>
      <c r="W348">
        <v>163</v>
      </c>
    </row>
    <row r="349" spans="11:23" x14ac:dyDescent="0.3">
      <c r="K349">
        <v>348</v>
      </c>
      <c r="L349">
        <f t="shared" ca="1" si="7"/>
        <v>602.8104150907825</v>
      </c>
      <c r="M349">
        <f ca="1">IF(L349&lt;=0,0,10^(MultiLogRegr1stWeek!$B$17+LOG10(L349)*MultiLogRegr1stWeek!$B$18+MultiLogRegr1stWeek!$B$19*14+MultiLogRegr1stWeek!$B$20*0))</f>
        <v>274.45509755874326</v>
      </c>
      <c r="U349">
        <v>347</v>
      </c>
      <c r="V349">
        <v>333</v>
      </c>
      <c r="W349">
        <v>160</v>
      </c>
    </row>
    <row r="350" spans="11:23" x14ac:dyDescent="0.3">
      <c r="K350">
        <v>349</v>
      </c>
      <c r="L350">
        <f t="shared" ca="1" si="7"/>
        <v>717.15519448125883</v>
      </c>
      <c r="M350">
        <f ca="1">IF(L350&lt;=0,0,10^(MultiLogRegr1stWeek!$B$17+LOG10(L350)*MultiLogRegr1stWeek!$B$18+MultiLogRegr1stWeek!$B$19*14+MultiLogRegr1stWeek!$B$20*0))</f>
        <v>327.71519949855133</v>
      </c>
      <c r="U350">
        <v>348</v>
      </c>
      <c r="V350">
        <v>343</v>
      </c>
      <c r="W350">
        <v>164</v>
      </c>
    </row>
    <row r="351" spans="11:23" x14ac:dyDescent="0.3">
      <c r="K351">
        <v>350</v>
      </c>
      <c r="L351">
        <f t="shared" ca="1" si="7"/>
        <v>355.35513597340559</v>
      </c>
      <c r="M351">
        <f ca="1">IF(L351&lt;=0,0,10^(MultiLogRegr1stWeek!$B$17+LOG10(L351)*MultiLogRegr1stWeek!$B$18+MultiLogRegr1stWeek!$B$19*14+MultiLogRegr1stWeek!$B$20*0))</f>
        <v>159.99502911655392</v>
      </c>
      <c r="U351">
        <v>349</v>
      </c>
      <c r="V351">
        <v>341</v>
      </c>
      <c r="W351">
        <v>164</v>
      </c>
    </row>
    <row r="352" spans="11:23" x14ac:dyDescent="0.3">
      <c r="K352">
        <v>351</v>
      </c>
      <c r="L352">
        <f t="shared" ca="1" si="7"/>
        <v>772.60238512058049</v>
      </c>
      <c r="M352">
        <f ca="1">IF(L352&lt;=0,0,10^(MultiLogRegr1stWeek!$B$17+LOG10(L352)*MultiLogRegr1stWeek!$B$18+MultiLogRegr1stWeek!$B$19*14+MultiLogRegr1stWeek!$B$20*0))</f>
        <v>353.60830393334749</v>
      </c>
      <c r="U352">
        <v>350</v>
      </c>
      <c r="V352">
        <v>333</v>
      </c>
      <c r="W352">
        <v>160</v>
      </c>
    </row>
    <row r="353" spans="11:23" x14ac:dyDescent="0.3">
      <c r="K353">
        <v>352</v>
      </c>
      <c r="L353">
        <f t="shared" ca="1" si="7"/>
        <v>107.52245237703411</v>
      </c>
      <c r="M353">
        <f ca="1">IF(L353&lt;=0,0,10^(MultiLogRegr1stWeek!$B$17+LOG10(L353)*MultiLogRegr1stWeek!$B$18+MultiLogRegr1stWeek!$B$19*14+MultiLogRegr1stWeek!$B$20*0))</f>
        <v>47.204135299207401</v>
      </c>
      <c r="U353">
        <v>351</v>
      </c>
      <c r="V353">
        <v>332</v>
      </c>
      <c r="W353">
        <v>160</v>
      </c>
    </row>
    <row r="354" spans="11:23" x14ac:dyDescent="0.3">
      <c r="K354">
        <v>353</v>
      </c>
      <c r="L354">
        <f t="shared" ca="1" si="7"/>
        <v>333.14174678104717</v>
      </c>
      <c r="M354">
        <f ca="1">IF(L354&lt;=0,0,10^(MultiLogRegr1stWeek!$B$17+LOG10(L354)*MultiLogRegr1stWeek!$B$18+MultiLogRegr1stWeek!$B$19*14+MultiLogRegr1stWeek!$B$20*0))</f>
        <v>149.78936386791719</v>
      </c>
      <c r="U354">
        <v>352</v>
      </c>
      <c r="V354">
        <v>331</v>
      </c>
      <c r="W354">
        <v>158</v>
      </c>
    </row>
    <row r="355" spans="11:23" x14ac:dyDescent="0.3">
      <c r="K355">
        <v>354</v>
      </c>
      <c r="L355">
        <f t="shared" ca="1" si="7"/>
        <v>286.08740596675352</v>
      </c>
      <c r="M355">
        <f ca="1">IF(L355&lt;=0,0,10^(MultiLogRegr1stWeek!$B$17+LOG10(L355)*MultiLogRegr1stWeek!$B$18+MultiLogRegr1stWeek!$B$19*14+MultiLogRegr1stWeek!$B$20*0))</f>
        <v>128.21953719230552</v>
      </c>
      <c r="U355">
        <v>353</v>
      </c>
      <c r="V355">
        <v>352</v>
      </c>
      <c r="W355">
        <v>167</v>
      </c>
    </row>
    <row r="356" spans="11:23" x14ac:dyDescent="0.3">
      <c r="K356">
        <v>355</v>
      </c>
      <c r="L356">
        <f t="shared" ca="1" si="7"/>
        <v>691.39858455633521</v>
      </c>
      <c r="M356">
        <f ca="1">IF(L356&lt;=0,0,10^(MultiLogRegr1stWeek!$B$17+LOG10(L356)*MultiLogRegr1stWeek!$B$18+MultiLogRegr1stWeek!$B$19*14+MultiLogRegr1stWeek!$B$20*0))</f>
        <v>315.70138769160769</v>
      </c>
      <c r="U356">
        <v>354</v>
      </c>
      <c r="V356">
        <v>336</v>
      </c>
      <c r="W356">
        <v>160</v>
      </c>
    </row>
    <row r="357" spans="11:23" x14ac:dyDescent="0.3">
      <c r="K357">
        <v>356</v>
      </c>
      <c r="L357">
        <f t="shared" ca="1" si="7"/>
        <v>422.45680381474767</v>
      </c>
      <c r="M357">
        <f ca="1">IF(L357&lt;=0,0,10^(MultiLogRegr1stWeek!$B$17+LOG10(L357)*MultiLogRegr1stWeek!$B$18+MultiLogRegr1stWeek!$B$19*14+MultiLogRegr1stWeek!$B$20*0))</f>
        <v>190.90288026800727</v>
      </c>
      <c r="U357">
        <v>355</v>
      </c>
      <c r="V357">
        <v>344</v>
      </c>
      <c r="W357">
        <v>164</v>
      </c>
    </row>
    <row r="358" spans="11:23" x14ac:dyDescent="0.3">
      <c r="K358">
        <v>357</v>
      </c>
      <c r="L358">
        <f t="shared" ca="1" si="7"/>
        <v>-126.04721722283944</v>
      </c>
      <c r="M358">
        <f ca="1">IF(L358&lt;=0,0,10^(MultiLogRegr1stWeek!$B$17+LOG10(L358)*MultiLogRegr1stWeek!$B$18+MultiLogRegr1stWeek!$B$19*14+MultiLogRegr1stWeek!$B$20*0))</f>
        <v>0</v>
      </c>
      <c r="U358">
        <v>356</v>
      </c>
      <c r="V358">
        <v>341</v>
      </c>
      <c r="W358">
        <v>162</v>
      </c>
    </row>
    <row r="359" spans="11:23" x14ac:dyDescent="0.3">
      <c r="K359">
        <v>358</v>
      </c>
      <c r="L359">
        <f t="shared" ca="1" si="7"/>
        <v>904.06082949033942</v>
      </c>
      <c r="M359">
        <f ca="1">IF(L359&lt;=0,0,10^(MultiLogRegr1stWeek!$B$17+LOG10(L359)*MultiLogRegr1stWeek!$B$18+MultiLogRegr1stWeek!$B$19*14+MultiLogRegr1stWeek!$B$20*0))</f>
        <v>415.15005486753051</v>
      </c>
      <c r="U359">
        <v>357</v>
      </c>
      <c r="V359">
        <v>343</v>
      </c>
      <c r="W359">
        <v>165</v>
      </c>
    </row>
    <row r="360" spans="11:23" x14ac:dyDescent="0.3">
      <c r="K360">
        <v>359</v>
      </c>
      <c r="L360">
        <f t="shared" ca="1" si="7"/>
        <v>227.18855415580947</v>
      </c>
      <c r="M360">
        <f ca="1">IF(L360&lt;=0,0,10^(MultiLogRegr1stWeek!$B$17+LOG10(L360)*MultiLogRegr1stWeek!$B$18+MultiLogRegr1stWeek!$B$19*14+MultiLogRegr1stWeek!$B$20*0))</f>
        <v>101.32762737245552</v>
      </c>
      <c r="U360">
        <v>358</v>
      </c>
      <c r="V360">
        <v>360</v>
      </c>
      <c r="W360">
        <v>170</v>
      </c>
    </row>
    <row r="361" spans="11:23" x14ac:dyDescent="0.3">
      <c r="K361">
        <v>360</v>
      </c>
      <c r="L361">
        <f t="shared" ca="1" si="7"/>
        <v>394.04624087027213</v>
      </c>
      <c r="M361">
        <f ca="1">IF(L361&lt;=0,0,10^(MultiLogRegr1stWeek!$B$17+LOG10(L361)*MultiLogRegr1stWeek!$B$18+MultiLogRegr1stWeek!$B$19*14+MultiLogRegr1stWeek!$B$20*0))</f>
        <v>177.80292262067925</v>
      </c>
      <c r="U361">
        <v>359</v>
      </c>
      <c r="V361">
        <v>353</v>
      </c>
      <c r="W361">
        <v>167</v>
      </c>
    </row>
    <row r="362" spans="11:23" x14ac:dyDescent="0.3">
      <c r="K362">
        <v>361</v>
      </c>
      <c r="L362">
        <f t="shared" ca="1" si="7"/>
        <v>660.57247344367897</v>
      </c>
      <c r="M362">
        <f ca="1">IF(L362&lt;=0,0,10^(MultiLogRegr1stWeek!$B$17+LOG10(L362)*MultiLogRegr1stWeek!$B$18+MultiLogRegr1stWeek!$B$19*14+MultiLogRegr1stWeek!$B$20*0))</f>
        <v>301.33543006084983</v>
      </c>
      <c r="U362">
        <v>360</v>
      </c>
      <c r="V362">
        <v>338</v>
      </c>
      <c r="W362">
        <v>161</v>
      </c>
    </row>
    <row r="363" spans="11:23" x14ac:dyDescent="0.3">
      <c r="K363">
        <v>362</v>
      </c>
      <c r="L363">
        <f t="shared" ca="1" si="7"/>
        <v>230.09918831947681</v>
      </c>
      <c r="M363">
        <f ca="1">IF(L363&lt;=0,0,10^(MultiLogRegr1stWeek!$B$17+LOG10(L363)*MultiLogRegr1stWeek!$B$18+MultiLogRegr1stWeek!$B$19*14+MultiLogRegr1stWeek!$B$20*0))</f>
        <v>102.65338128388586</v>
      </c>
      <c r="U363">
        <v>361</v>
      </c>
      <c r="V363">
        <v>334</v>
      </c>
      <c r="W363">
        <v>161</v>
      </c>
    </row>
    <row r="364" spans="11:23" x14ac:dyDescent="0.3">
      <c r="K364">
        <v>363</v>
      </c>
      <c r="L364">
        <f t="shared" ca="1" si="7"/>
        <v>333.92205551723004</v>
      </c>
      <c r="M364">
        <f ca="1">IF(L364&lt;=0,0,10^(MultiLogRegr1stWeek!$B$17+LOG10(L364)*MultiLogRegr1stWeek!$B$18+MultiLogRegr1stWeek!$B$19*14+MultiLogRegr1stWeek!$B$20*0))</f>
        <v>150.14762895581543</v>
      </c>
      <c r="U364">
        <v>362</v>
      </c>
      <c r="V364">
        <v>338</v>
      </c>
      <c r="W364">
        <v>162</v>
      </c>
    </row>
    <row r="365" spans="11:23" x14ac:dyDescent="0.3">
      <c r="K365">
        <v>364</v>
      </c>
      <c r="L365">
        <f t="shared" ca="1" si="7"/>
        <v>573.71349758105816</v>
      </c>
      <c r="M365">
        <f ca="1">IF(L365&lt;=0,0,10^(MultiLogRegr1stWeek!$B$17+LOG10(L365)*MultiLogRegr1stWeek!$B$18+MultiLogRegr1stWeek!$B$19*14+MultiLogRegr1stWeek!$B$20*0))</f>
        <v>260.93474724575719</v>
      </c>
      <c r="U365">
        <v>363</v>
      </c>
      <c r="V365">
        <v>341</v>
      </c>
      <c r="W365">
        <v>163</v>
      </c>
    </row>
    <row r="366" spans="11:23" x14ac:dyDescent="0.3">
      <c r="K366">
        <v>365</v>
      </c>
      <c r="L366">
        <f t="shared" ca="1" si="7"/>
        <v>267.02849819094183</v>
      </c>
      <c r="M366">
        <f ca="1">IF(L366&lt;=0,0,10^(MultiLogRegr1stWeek!$B$17+LOG10(L366)*MultiLogRegr1stWeek!$B$18+MultiLogRegr1stWeek!$B$19*14+MultiLogRegr1stWeek!$B$20*0))</f>
        <v>119.50355396699196</v>
      </c>
      <c r="U366">
        <v>364</v>
      </c>
      <c r="V366">
        <v>348</v>
      </c>
      <c r="W366">
        <v>166</v>
      </c>
    </row>
    <row r="367" spans="11:23" x14ac:dyDescent="0.3">
      <c r="K367">
        <v>366</v>
      </c>
      <c r="L367">
        <f t="shared" ca="1" si="7"/>
        <v>25.18147303273463</v>
      </c>
      <c r="M367">
        <f ca="1">IF(L367&lt;=0,0,10^(MultiLogRegr1stWeek!$B$17+LOG10(L367)*MultiLogRegr1stWeek!$B$18+MultiLogRegr1stWeek!$B$19*14+MultiLogRegr1stWeek!$B$20*0))</f>
        <v>10.721355118020639</v>
      </c>
      <c r="U367">
        <v>365</v>
      </c>
      <c r="V367">
        <v>323</v>
      </c>
      <c r="W367">
        <v>156</v>
      </c>
    </row>
    <row r="368" spans="11:23" x14ac:dyDescent="0.3">
      <c r="K368">
        <v>367</v>
      </c>
      <c r="L368">
        <f t="shared" ca="1" si="7"/>
        <v>766.27557987204693</v>
      </c>
      <c r="M368">
        <f ca="1">IF(L368&lt;=0,0,10^(MultiLogRegr1stWeek!$B$17+LOG10(L368)*MultiLogRegr1stWeek!$B$18+MultiLogRegr1stWeek!$B$19*14+MultiLogRegr1stWeek!$B$20*0))</f>
        <v>350.65173101286467</v>
      </c>
      <c r="U368">
        <v>366</v>
      </c>
      <c r="V368">
        <v>325</v>
      </c>
      <c r="W368">
        <v>158</v>
      </c>
    </row>
    <row r="369" spans="11:23" x14ac:dyDescent="0.3">
      <c r="K369">
        <v>368</v>
      </c>
      <c r="L369">
        <f t="shared" ca="1" si="7"/>
        <v>172.51092375480002</v>
      </c>
      <c r="M369">
        <f ca="1">IF(L369&lt;=0,0,10^(MultiLogRegr1stWeek!$B$17+LOG10(L369)*MultiLogRegr1stWeek!$B$18+MultiLogRegr1stWeek!$B$19*14+MultiLogRegr1stWeek!$B$20*0))</f>
        <v>76.495010489469195</v>
      </c>
      <c r="U369">
        <v>367</v>
      </c>
      <c r="V369">
        <v>345</v>
      </c>
      <c r="W369">
        <v>166</v>
      </c>
    </row>
    <row r="370" spans="11:23" x14ac:dyDescent="0.3">
      <c r="K370">
        <v>369</v>
      </c>
      <c r="L370">
        <f t="shared" ca="1" si="7"/>
        <v>-65.470770429838581</v>
      </c>
      <c r="M370">
        <f ca="1">IF(L370&lt;=0,0,10^(MultiLogRegr1stWeek!$B$17+LOG10(L370)*MultiLogRegr1stWeek!$B$18+MultiLogRegr1stWeek!$B$19*14+MultiLogRegr1stWeek!$B$20*0))</f>
        <v>0</v>
      </c>
      <c r="U370">
        <v>368</v>
      </c>
      <c r="V370">
        <v>339</v>
      </c>
      <c r="W370">
        <v>162</v>
      </c>
    </row>
    <row r="371" spans="11:23" x14ac:dyDescent="0.3">
      <c r="K371">
        <v>370</v>
      </c>
      <c r="L371">
        <f t="shared" ca="1" si="7"/>
        <v>483.23052344339499</v>
      </c>
      <c r="M371">
        <f ca="1">IF(L371&lt;=0,0,10^(MultiLogRegr1stWeek!$B$17+LOG10(L371)*MultiLogRegr1stWeek!$B$18+MultiLogRegr1stWeek!$B$19*14+MultiLogRegr1stWeek!$B$20*0))</f>
        <v>218.9864053158928</v>
      </c>
      <c r="U371">
        <v>369</v>
      </c>
      <c r="V371">
        <v>343</v>
      </c>
      <c r="W371">
        <v>164</v>
      </c>
    </row>
    <row r="372" spans="11:23" x14ac:dyDescent="0.3">
      <c r="K372">
        <v>371</v>
      </c>
      <c r="L372">
        <f t="shared" ca="1" si="7"/>
        <v>78.256701320815239</v>
      </c>
      <c r="M372">
        <f ca="1">IF(L372&lt;=0,0,10^(MultiLogRegr1stWeek!$B$17+LOG10(L372)*MultiLogRegr1stWeek!$B$18+MultiLogRegr1stWeek!$B$19*14+MultiLogRegr1stWeek!$B$20*0))</f>
        <v>34.126267727243743</v>
      </c>
      <c r="U372">
        <v>370</v>
      </c>
      <c r="V372">
        <v>334</v>
      </c>
      <c r="W372">
        <v>161</v>
      </c>
    </row>
    <row r="373" spans="11:23" x14ac:dyDescent="0.3">
      <c r="K373">
        <v>372</v>
      </c>
      <c r="L373">
        <f t="shared" ca="1" si="7"/>
        <v>337.8220837745742</v>
      </c>
      <c r="M373">
        <f ca="1">IF(L373&lt;=0,0,10^(MultiLogRegr1stWeek!$B$17+LOG10(L373)*MultiLogRegr1stWeek!$B$18+MultiLogRegr1stWeek!$B$19*14+MultiLogRegr1stWeek!$B$20*0))</f>
        <v>151.93852281109517</v>
      </c>
      <c r="U373">
        <v>371</v>
      </c>
      <c r="V373">
        <v>328</v>
      </c>
      <c r="W373">
        <v>157</v>
      </c>
    </row>
    <row r="374" spans="11:23" x14ac:dyDescent="0.3">
      <c r="K374">
        <v>373</v>
      </c>
      <c r="L374">
        <f t="shared" ca="1" si="7"/>
        <v>381.62370109887411</v>
      </c>
      <c r="M374">
        <f ca="1">IF(L374&lt;=0,0,10^(MultiLogRegr1stWeek!$B$17+LOG10(L374)*MultiLogRegr1stWeek!$B$18+MultiLogRegr1stWeek!$B$19*14+MultiLogRegr1stWeek!$B$20*0))</f>
        <v>172.08113967314446</v>
      </c>
      <c r="U374">
        <v>372</v>
      </c>
      <c r="V374">
        <v>341</v>
      </c>
      <c r="W374">
        <v>163</v>
      </c>
    </row>
    <row r="375" spans="11:23" x14ac:dyDescent="0.3">
      <c r="K375">
        <v>374</v>
      </c>
      <c r="L375">
        <f t="shared" ca="1" si="7"/>
        <v>474.63058454217753</v>
      </c>
      <c r="M375">
        <f ca="1">IF(L375&lt;=0,0,10^(MultiLogRegr1stWeek!$B$17+LOG10(L375)*MultiLogRegr1stWeek!$B$18+MultiLogRegr1stWeek!$B$19*14+MultiLogRegr1stWeek!$B$20*0))</f>
        <v>215.00761144611974</v>
      </c>
      <c r="U375">
        <v>373</v>
      </c>
      <c r="V375">
        <v>329</v>
      </c>
      <c r="W375">
        <v>159</v>
      </c>
    </row>
    <row r="376" spans="11:23" x14ac:dyDescent="0.3">
      <c r="K376">
        <v>375</v>
      </c>
      <c r="L376">
        <f t="shared" ca="1" si="7"/>
        <v>818.20930564138871</v>
      </c>
      <c r="M376">
        <f ca="1">IF(L376&lt;=0,0,10^(MultiLogRegr1stWeek!$B$17+LOG10(L376)*MultiLogRegr1stWeek!$B$18+MultiLogRegr1stWeek!$B$19*14+MultiLogRegr1stWeek!$B$20*0))</f>
        <v>374.9357111327497</v>
      </c>
      <c r="U376">
        <v>374</v>
      </c>
      <c r="V376">
        <v>352</v>
      </c>
      <c r="W376">
        <v>168</v>
      </c>
    </row>
    <row r="377" spans="11:23" x14ac:dyDescent="0.3">
      <c r="K377">
        <v>376</v>
      </c>
      <c r="L377">
        <f t="shared" ca="1" si="7"/>
        <v>343.49691119453911</v>
      </c>
      <c r="M377">
        <f ca="1">IF(L377&lt;=0,0,10^(MultiLogRegr1stWeek!$B$17+LOG10(L377)*MultiLogRegr1stWeek!$B$18+MultiLogRegr1stWeek!$B$19*14+MultiLogRegr1stWeek!$B$20*0))</f>
        <v>154.54518344866548</v>
      </c>
      <c r="U377">
        <v>375</v>
      </c>
      <c r="V377">
        <v>357</v>
      </c>
      <c r="W377">
        <v>169</v>
      </c>
    </row>
    <row r="378" spans="11:23" x14ac:dyDescent="0.3">
      <c r="K378">
        <v>377</v>
      </c>
      <c r="L378">
        <f t="shared" ca="1" si="7"/>
        <v>367.5067027775969</v>
      </c>
      <c r="M378">
        <f ca="1">IF(L378&lt;=0,0,10^(MultiLogRegr1stWeek!$B$17+LOG10(L378)*MultiLogRegr1stWeek!$B$18+MultiLogRegr1stWeek!$B$19*14+MultiLogRegr1stWeek!$B$20*0))</f>
        <v>165.58367503963967</v>
      </c>
      <c r="U378">
        <v>376</v>
      </c>
      <c r="V378">
        <v>347</v>
      </c>
      <c r="W378">
        <v>166</v>
      </c>
    </row>
    <row r="379" spans="11:23" x14ac:dyDescent="0.3">
      <c r="K379">
        <v>378</v>
      </c>
      <c r="L379">
        <f t="shared" ca="1" si="7"/>
        <v>-153.64341166470865</v>
      </c>
      <c r="M379">
        <f ca="1">IF(L379&lt;=0,0,10^(MultiLogRegr1stWeek!$B$17+LOG10(L379)*MultiLogRegr1stWeek!$B$18+MultiLogRegr1stWeek!$B$19*14+MultiLogRegr1stWeek!$B$20*0))</f>
        <v>0</v>
      </c>
      <c r="U379">
        <v>377</v>
      </c>
      <c r="V379">
        <v>343</v>
      </c>
      <c r="W379">
        <v>164</v>
      </c>
    </row>
    <row r="380" spans="11:23" x14ac:dyDescent="0.3">
      <c r="K380">
        <v>379</v>
      </c>
      <c r="L380">
        <f t="shared" ca="1" si="7"/>
        <v>546.90956790083658</v>
      </c>
      <c r="M380">
        <f ca="1">IF(L380&lt;=0,0,10^(MultiLogRegr1stWeek!$B$17+LOG10(L380)*MultiLogRegr1stWeek!$B$18+MultiLogRegr1stWeek!$B$19*14+MultiLogRegr1stWeek!$B$20*0))</f>
        <v>248.49266526396889</v>
      </c>
      <c r="U380">
        <v>378</v>
      </c>
      <c r="V380">
        <v>339</v>
      </c>
      <c r="W380">
        <v>161</v>
      </c>
    </row>
    <row r="381" spans="11:23" x14ac:dyDescent="0.3">
      <c r="K381">
        <v>380</v>
      </c>
      <c r="L381">
        <f t="shared" ca="1" si="7"/>
        <v>545.90872255293584</v>
      </c>
      <c r="M381">
        <f ca="1">IF(L381&lt;=0,0,10^(MultiLogRegr1stWeek!$B$17+LOG10(L381)*MultiLogRegr1stWeek!$B$18+MultiLogRegr1stWeek!$B$19*14+MultiLogRegr1stWeek!$B$20*0))</f>
        <v>248.02832964269012</v>
      </c>
      <c r="U381">
        <v>379</v>
      </c>
      <c r="V381">
        <v>327</v>
      </c>
      <c r="W381">
        <v>158</v>
      </c>
    </row>
    <row r="382" spans="11:23" x14ac:dyDescent="0.3">
      <c r="K382">
        <v>381</v>
      </c>
      <c r="L382">
        <f t="shared" ca="1" si="7"/>
        <v>246.72560831653328</v>
      </c>
      <c r="M382">
        <f ca="1">IF(L382&lt;=0,0,10^(MultiLogRegr1stWeek!$B$17+LOG10(L382)*MultiLogRegr1stWeek!$B$18+MultiLogRegr1stWeek!$B$19*14+MultiLogRegr1stWeek!$B$20*0))</f>
        <v>110.23315005046273</v>
      </c>
      <c r="U382">
        <v>380</v>
      </c>
      <c r="V382">
        <v>346</v>
      </c>
      <c r="W382">
        <v>165</v>
      </c>
    </row>
    <row r="383" spans="11:23" x14ac:dyDescent="0.3">
      <c r="K383">
        <v>382</v>
      </c>
      <c r="L383">
        <f t="shared" ca="1" si="7"/>
        <v>281.60353968362278</v>
      </c>
      <c r="M383">
        <f ca="1">IF(L383&lt;=0,0,10^(MultiLogRegr1stWeek!$B$17+LOG10(L383)*MultiLogRegr1stWeek!$B$18+MultiLogRegr1stWeek!$B$19*14+MultiLogRegr1stWeek!$B$20*0))</f>
        <v>126.16784954426804</v>
      </c>
      <c r="U383">
        <v>381</v>
      </c>
      <c r="V383">
        <v>333</v>
      </c>
      <c r="W383">
        <v>159</v>
      </c>
    </row>
    <row r="384" spans="11:23" x14ac:dyDescent="0.3">
      <c r="K384">
        <v>383</v>
      </c>
      <c r="L384">
        <f t="shared" ca="1" si="7"/>
        <v>864.96055501499143</v>
      </c>
      <c r="M384">
        <f ca="1">IF(L384&lt;=0,0,10^(MultiLogRegr1stWeek!$B$17+LOG10(L384)*MultiLogRegr1stWeek!$B$18+MultiLogRegr1stWeek!$B$19*14+MultiLogRegr1stWeek!$B$20*0))</f>
        <v>396.82432002864431</v>
      </c>
      <c r="U384">
        <v>382</v>
      </c>
      <c r="V384">
        <v>345</v>
      </c>
      <c r="W384">
        <v>165</v>
      </c>
    </row>
    <row r="385" spans="11:23" x14ac:dyDescent="0.3">
      <c r="K385">
        <v>384</v>
      </c>
      <c r="L385">
        <f t="shared" ca="1" si="7"/>
        <v>184.27532699244784</v>
      </c>
      <c r="M385">
        <f ca="1">IF(L385&lt;=0,0,10^(MultiLogRegr1stWeek!$B$17+LOG10(L385)*MultiLogRegr1stWeek!$B$18+MultiLogRegr1stWeek!$B$19*14+MultiLogRegr1stWeek!$B$20*0))</f>
        <v>81.825506756753185</v>
      </c>
      <c r="U385">
        <v>383</v>
      </c>
      <c r="V385">
        <v>329</v>
      </c>
      <c r="W385">
        <v>159</v>
      </c>
    </row>
    <row r="386" spans="11:23" x14ac:dyDescent="0.3">
      <c r="K386">
        <v>385</v>
      </c>
      <c r="L386">
        <f t="shared" ca="1" si="7"/>
        <v>549.36365912140502</v>
      </c>
      <c r="M386">
        <f ca="1">IF(L386&lt;=0,0,10^(MultiLogRegr1stWeek!$B$17+LOG10(L386)*MultiLogRegr1stWeek!$B$18+MultiLogRegr1stWeek!$B$19*14+MultiLogRegr1stWeek!$B$20*0))</f>
        <v>249.63130063340995</v>
      </c>
      <c r="U386">
        <v>384</v>
      </c>
      <c r="V386">
        <v>340</v>
      </c>
      <c r="W386">
        <v>164</v>
      </c>
    </row>
    <row r="387" spans="11:23" x14ac:dyDescent="0.3">
      <c r="K387">
        <v>386</v>
      </c>
      <c r="L387">
        <f t="shared" ref="L387:L450" ca="1" si="8">_xlfn.NORM.INV(RAND(),$S$3,$S$2)</f>
        <v>140.2676303229334</v>
      </c>
      <c r="M387">
        <f ca="1">IF(L387&lt;=0,0,10^(MultiLogRegr1stWeek!$B$17+LOG10(L387)*MultiLogRegr1stWeek!$B$18+MultiLogRegr1stWeek!$B$19*14+MultiLogRegr1stWeek!$B$20*0))</f>
        <v>61.926486632321591</v>
      </c>
      <c r="U387">
        <v>385</v>
      </c>
      <c r="V387">
        <v>348</v>
      </c>
      <c r="W387">
        <v>166</v>
      </c>
    </row>
    <row r="388" spans="11:23" x14ac:dyDescent="0.3">
      <c r="K388">
        <v>387</v>
      </c>
      <c r="L388">
        <f t="shared" ca="1" si="8"/>
        <v>737.96294416699209</v>
      </c>
      <c r="M388">
        <f ca="1">IF(L388&lt;=0,0,10^(MultiLogRegr1stWeek!$B$17+LOG10(L388)*MultiLogRegr1stWeek!$B$18+MultiLogRegr1stWeek!$B$19*14+MultiLogRegr1stWeek!$B$20*0))</f>
        <v>337.42735667537306</v>
      </c>
      <c r="U388">
        <v>386</v>
      </c>
      <c r="V388">
        <v>325</v>
      </c>
      <c r="W388">
        <v>157</v>
      </c>
    </row>
    <row r="389" spans="11:23" x14ac:dyDescent="0.3">
      <c r="K389">
        <v>388</v>
      </c>
      <c r="L389">
        <f t="shared" ca="1" si="8"/>
        <v>603.38049984214399</v>
      </c>
      <c r="M389">
        <f ca="1">IF(L389&lt;=0,0,10^(MultiLogRegr1stWeek!$B$17+LOG10(L389)*MultiLogRegr1stWeek!$B$18+MultiLogRegr1stWeek!$B$19*14+MultiLogRegr1stWeek!$B$20*0))</f>
        <v>274.72013649769167</v>
      </c>
      <c r="U389">
        <v>387</v>
      </c>
      <c r="V389">
        <v>333</v>
      </c>
      <c r="W389">
        <v>161</v>
      </c>
    </row>
    <row r="390" spans="11:23" x14ac:dyDescent="0.3">
      <c r="K390">
        <v>389</v>
      </c>
      <c r="L390">
        <f t="shared" ca="1" si="8"/>
        <v>589.03476907573599</v>
      </c>
      <c r="M390">
        <f ca="1">IF(L390&lt;=0,0,10^(MultiLogRegr1stWeek!$B$17+LOG10(L390)*MultiLogRegr1stWeek!$B$18+MultiLogRegr1stWeek!$B$19*14+MultiLogRegr1stWeek!$B$20*0))</f>
        <v>268.05226259473591</v>
      </c>
      <c r="U390">
        <v>388</v>
      </c>
      <c r="V390">
        <v>333</v>
      </c>
      <c r="W390">
        <v>160</v>
      </c>
    </row>
    <row r="391" spans="11:23" x14ac:dyDescent="0.3">
      <c r="K391">
        <v>390</v>
      </c>
      <c r="L391">
        <f t="shared" ca="1" si="8"/>
        <v>528.58880748765785</v>
      </c>
      <c r="M391">
        <f ca="1">IF(L391&lt;=0,0,10^(MultiLogRegr1stWeek!$B$17+LOG10(L391)*MultiLogRegr1stWeek!$B$18+MultiLogRegr1stWeek!$B$19*14+MultiLogRegr1stWeek!$B$20*0))</f>
        <v>239.99574432105109</v>
      </c>
      <c r="U391">
        <v>389</v>
      </c>
      <c r="V391">
        <v>326</v>
      </c>
      <c r="W391">
        <v>157</v>
      </c>
    </row>
    <row r="392" spans="11:23" x14ac:dyDescent="0.3">
      <c r="K392">
        <v>391</v>
      </c>
      <c r="L392">
        <f t="shared" ca="1" si="8"/>
        <v>993.14991408772107</v>
      </c>
      <c r="M392">
        <f ca="1">IF(L392&lt;=0,0,10^(MultiLogRegr1stWeek!$B$17+LOG10(L392)*MultiLogRegr1stWeek!$B$18+MultiLogRegr1stWeek!$B$19*14+MultiLogRegr1stWeek!$B$20*0))</f>
        <v>456.96630605136733</v>
      </c>
      <c r="U392">
        <v>390</v>
      </c>
      <c r="V392">
        <v>321</v>
      </c>
      <c r="W392">
        <v>154</v>
      </c>
    </row>
    <row r="393" spans="11:23" x14ac:dyDescent="0.3">
      <c r="K393">
        <v>392</v>
      </c>
      <c r="L393">
        <f t="shared" ca="1" si="8"/>
        <v>345.51088260041308</v>
      </c>
      <c r="M393">
        <f ca="1">IF(L393&lt;=0,0,10^(MultiLogRegr1stWeek!$B$17+LOG10(L393)*MultiLogRegr1stWeek!$B$18+MultiLogRegr1stWeek!$B$19*14+MultiLogRegr1stWeek!$B$20*0))</f>
        <v>155.47049533612696</v>
      </c>
      <c r="U393">
        <v>391</v>
      </c>
      <c r="V393">
        <v>326</v>
      </c>
      <c r="W393">
        <v>158</v>
      </c>
    </row>
    <row r="394" spans="11:23" x14ac:dyDescent="0.3">
      <c r="K394">
        <v>393</v>
      </c>
      <c r="L394">
        <f t="shared" ca="1" si="8"/>
        <v>289.49376452346809</v>
      </c>
      <c r="M394">
        <f ca="1">IF(L394&lt;=0,0,10^(MultiLogRegr1stWeek!$B$17+LOG10(L394)*MultiLogRegr1stWeek!$B$18+MultiLogRegr1stWeek!$B$19*14+MultiLogRegr1stWeek!$B$20*0))</f>
        <v>129.77864296183085</v>
      </c>
      <c r="U394">
        <v>392</v>
      </c>
      <c r="V394">
        <v>345</v>
      </c>
      <c r="W394">
        <v>164</v>
      </c>
    </row>
    <row r="395" spans="11:23" x14ac:dyDescent="0.3">
      <c r="K395">
        <v>394</v>
      </c>
      <c r="L395">
        <f t="shared" ca="1" si="8"/>
        <v>-27.471434867959374</v>
      </c>
      <c r="M395">
        <f ca="1">IF(L395&lt;=0,0,10^(MultiLogRegr1stWeek!$B$17+LOG10(L395)*MultiLogRegr1stWeek!$B$18+MultiLogRegr1stWeek!$B$19*14+MultiLogRegr1stWeek!$B$20*0))</f>
        <v>0</v>
      </c>
      <c r="U395">
        <v>393</v>
      </c>
      <c r="V395">
        <v>338</v>
      </c>
      <c r="W395">
        <v>162</v>
      </c>
    </row>
    <row r="396" spans="11:23" x14ac:dyDescent="0.3">
      <c r="K396">
        <v>395</v>
      </c>
      <c r="L396">
        <f t="shared" ca="1" si="8"/>
        <v>1119.6607288135076</v>
      </c>
      <c r="M396">
        <f ca="1">IF(L396&lt;=0,0,10^(MultiLogRegr1stWeek!$B$17+LOG10(L396)*MultiLogRegr1stWeek!$B$18+MultiLogRegr1stWeek!$B$19*14+MultiLogRegr1stWeek!$B$20*0))</f>
        <v>516.48224399894161</v>
      </c>
      <c r="U396">
        <v>394</v>
      </c>
      <c r="V396">
        <v>346</v>
      </c>
      <c r="W396">
        <v>166</v>
      </c>
    </row>
    <row r="397" spans="11:23" x14ac:dyDescent="0.3">
      <c r="K397">
        <v>396</v>
      </c>
      <c r="L397">
        <f t="shared" ca="1" si="8"/>
        <v>323.42804017716406</v>
      </c>
      <c r="M397">
        <f ca="1">IF(L397&lt;=0,0,10^(MultiLogRegr1stWeek!$B$17+LOG10(L397)*MultiLogRegr1stWeek!$B$18+MultiLogRegr1stWeek!$B$19*14+MultiLogRegr1stWeek!$B$20*0))</f>
        <v>145.33098207267648</v>
      </c>
      <c r="U397">
        <v>395</v>
      </c>
      <c r="V397">
        <v>328</v>
      </c>
      <c r="W397">
        <v>158</v>
      </c>
    </row>
    <row r="398" spans="11:23" x14ac:dyDescent="0.3">
      <c r="K398">
        <v>397</v>
      </c>
      <c r="L398">
        <f t="shared" ca="1" si="8"/>
        <v>768.26417465673524</v>
      </c>
      <c r="M398">
        <f ca="1">IF(L398&lt;=0,0,10^(MultiLogRegr1stWeek!$B$17+LOG10(L398)*MultiLogRegr1stWeek!$B$18+MultiLogRegr1stWeek!$B$19*14+MultiLogRegr1stWeek!$B$20*0))</f>
        <v>351.58096386968265</v>
      </c>
      <c r="U398">
        <v>396</v>
      </c>
      <c r="V398">
        <v>356</v>
      </c>
      <c r="W398">
        <v>168</v>
      </c>
    </row>
    <row r="399" spans="11:23" x14ac:dyDescent="0.3">
      <c r="K399">
        <v>398</v>
      </c>
      <c r="L399">
        <f t="shared" ca="1" si="8"/>
        <v>31.795180826752755</v>
      </c>
      <c r="M399">
        <f ca="1">IF(L399&lt;=0,0,10^(MultiLogRegr1stWeek!$B$17+LOG10(L399)*MultiLogRegr1stWeek!$B$18+MultiLogRegr1stWeek!$B$19*14+MultiLogRegr1stWeek!$B$20*0))</f>
        <v>13.604060352719515</v>
      </c>
      <c r="U399">
        <v>397</v>
      </c>
      <c r="V399">
        <v>345</v>
      </c>
      <c r="W399">
        <v>164</v>
      </c>
    </row>
    <row r="400" spans="11:23" x14ac:dyDescent="0.3">
      <c r="K400">
        <v>399</v>
      </c>
      <c r="L400">
        <f t="shared" ca="1" si="8"/>
        <v>464.22857495834273</v>
      </c>
      <c r="M400">
        <f ca="1">IF(L400&lt;=0,0,10^(MultiLogRegr1stWeek!$B$17+LOG10(L400)*MultiLogRegr1stWeek!$B$18+MultiLogRegr1stWeek!$B$19*14+MultiLogRegr1stWeek!$B$20*0))</f>
        <v>210.19711939251758</v>
      </c>
      <c r="U400">
        <v>398</v>
      </c>
      <c r="V400">
        <v>330</v>
      </c>
      <c r="W400">
        <v>158</v>
      </c>
    </row>
    <row r="401" spans="11:23" x14ac:dyDescent="0.3">
      <c r="K401">
        <v>400</v>
      </c>
      <c r="L401">
        <f t="shared" ca="1" si="8"/>
        <v>849.19599143086748</v>
      </c>
      <c r="M401">
        <f ca="1">IF(L401&lt;=0,0,10^(MultiLogRegr1stWeek!$B$17+LOG10(L401)*MultiLogRegr1stWeek!$B$18+MultiLogRegr1stWeek!$B$19*14+MultiLogRegr1stWeek!$B$20*0))</f>
        <v>389.4406000481581</v>
      </c>
      <c r="U401">
        <v>399</v>
      </c>
      <c r="V401">
        <v>335</v>
      </c>
      <c r="W401">
        <v>160</v>
      </c>
    </row>
    <row r="402" spans="11:23" x14ac:dyDescent="0.3">
      <c r="K402">
        <v>401</v>
      </c>
      <c r="L402">
        <f t="shared" ca="1" si="8"/>
        <v>454.70074558235046</v>
      </c>
      <c r="M402">
        <f ca="1">IF(L402&lt;=0,0,10^(MultiLogRegr1stWeek!$B$17+LOG10(L402)*MultiLogRegr1stWeek!$B$18+MultiLogRegr1stWeek!$B$19*14+MultiLogRegr1stWeek!$B$20*0))</f>
        <v>205.79289463727261</v>
      </c>
      <c r="U402">
        <v>400</v>
      </c>
      <c r="V402">
        <v>353</v>
      </c>
      <c r="W402">
        <v>168</v>
      </c>
    </row>
    <row r="403" spans="11:23" x14ac:dyDescent="0.3">
      <c r="K403">
        <v>402</v>
      </c>
      <c r="L403">
        <f t="shared" ca="1" si="8"/>
        <v>174.24797845087704</v>
      </c>
      <c r="M403">
        <f ca="1">IF(L403&lt;=0,0,10^(MultiLogRegr1stWeek!$B$17+LOG10(L403)*MultiLogRegr1stWeek!$B$18+MultiLogRegr1stWeek!$B$19*14+MultiLogRegr1stWeek!$B$20*0))</f>
        <v>77.281605867256488</v>
      </c>
      <c r="U403">
        <v>401</v>
      </c>
      <c r="V403">
        <v>353</v>
      </c>
      <c r="W403">
        <v>168</v>
      </c>
    </row>
    <row r="404" spans="11:23" x14ac:dyDescent="0.3">
      <c r="K404">
        <v>403</v>
      </c>
      <c r="L404">
        <f t="shared" ca="1" si="8"/>
        <v>524.94439496467567</v>
      </c>
      <c r="M404">
        <f ca="1">IF(L404&lt;=0,0,10^(MultiLogRegr1stWeek!$B$17+LOG10(L404)*MultiLogRegr1stWeek!$B$18+MultiLogRegr1stWeek!$B$19*14+MultiLogRegr1stWeek!$B$20*0))</f>
        <v>238.30624978730518</v>
      </c>
      <c r="U404">
        <v>402</v>
      </c>
      <c r="V404">
        <v>334</v>
      </c>
      <c r="W404">
        <v>160</v>
      </c>
    </row>
    <row r="405" spans="11:23" x14ac:dyDescent="0.3">
      <c r="K405">
        <v>404</v>
      </c>
      <c r="L405">
        <f t="shared" ca="1" si="8"/>
        <v>343.88653135040153</v>
      </c>
      <c r="M405">
        <f ca="1">IF(L405&lt;=0,0,10^(MultiLogRegr1stWeek!$B$17+LOG10(L405)*MultiLogRegr1stWeek!$B$18+MultiLogRegr1stWeek!$B$19*14+MultiLogRegr1stWeek!$B$20*0))</f>
        <v>154.72418410500171</v>
      </c>
      <c r="U405">
        <v>403</v>
      </c>
      <c r="V405">
        <v>335</v>
      </c>
      <c r="W405">
        <v>161</v>
      </c>
    </row>
    <row r="406" spans="11:23" x14ac:dyDescent="0.3">
      <c r="K406">
        <v>405</v>
      </c>
      <c r="L406">
        <f t="shared" ca="1" si="8"/>
        <v>672.59798547914306</v>
      </c>
      <c r="M406">
        <f ca="1">IF(L406&lt;=0,0,10^(MultiLogRegr1stWeek!$B$17+LOG10(L406)*MultiLogRegr1stWeek!$B$18+MultiLogRegr1stWeek!$B$19*14+MultiLogRegr1stWeek!$B$20*0))</f>
        <v>306.93805628453794</v>
      </c>
      <c r="U406">
        <v>404</v>
      </c>
      <c r="V406">
        <v>349</v>
      </c>
      <c r="W406">
        <v>166</v>
      </c>
    </row>
    <row r="407" spans="11:23" x14ac:dyDescent="0.3">
      <c r="K407">
        <v>406</v>
      </c>
      <c r="L407">
        <f t="shared" ca="1" si="8"/>
        <v>457.88294245379791</v>
      </c>
      <c r="M407">
        <f ca="1">IF(L407&lt;=0,0,10^(MultiLogRegr1stWeek!$B$17+LOG10(L407)*MultiLogRegr1stWeek!$B$18+MultiLogRegr1stWeek!$B$19*14+MultiLogRegr1stWeek!$B$20*0))</f>
        <v>207.26364559835488</v>
      </c>
      <c r="U407">
        <v>405</v>
      </c>
      <c r="V407">
        <v>328</v>
      </c>
      <c r="W407">
        <v>158</v>
      </c>
    </row>
    <row r="408" spans="11:23" x14ac:dyDescent="0.3">
      <c r="K408">
        <v>407</v>
      </c>
      <c r="L408">
        <f t="shared" ca="1" si="8"/>
        <v>202.84040054885304</v>
      </c>
      <c r="M408">
        <f ca="1">IF(L408&lt;=0,0,10^(MultiLogRegr1stWeek!$B$17+LOG10(L408)*MultiLogRegr1stWeek!$B$18+MultiLogRegr1stWeek!$B$19*14+MultiLogRegr1stWeek!$B$20*0))</f>
        <v>90.251882494428074</v>
      </c>
      <c r="U408">
        <v>406</v>
      </c>
      <c r="V408">
        <v>351</v>
      </c>
      <c r="W408">
        <v>167</v>
      </c>
    </row>
    <row r="409" spans="11:23" x14ac:dyDescent="0.3">
      <c r="K409">
        <v>408</v>
      </c>
      <c r="L409">
        <f t="shared" ca="1" si="8"/>
        <v>884.57963953722049</v>
      </c>
      <c r="M409">
        <f ca="1">IF(L409&lt;=0,0,10^(MultiLogRegr1stWeek!$B$17+LOG10(L409)*MultiLogRegr1stWeek!$B$18+MultiLogRegr1stWeek!$B$19*14+MultiLogRegr1stWeek!$B$20*0))</f>
        <v>406.01736362969007</v>
      </c>
      <c r="U409">
        <v>407</v>
      </c>
      <c r="V409">
        <v>321</v>
      </c>
      <c r="W409">
        <v>154</v>
      </c>
    </row>
    <row r="410" spans="11:23" x14ac:dyDescent="0.3">
      <c r="K410">
        <v>409</v>
      </c>
      <c r="L410">
        <f t="shared" ca="1" si="8"/>
        <v>163.9191885148407</v>
      </c>
      <c r="M410">
        <f ca="1">IF(L410&lt;=0,0,10^(MultiLogRegr1stWeek!$B$17+LOG10(L410)*MultiLogRegr1stWeek!$B$18+MultiLogRegr1stWeek!$B$19*14+MultiLogRegr1stWeek!$B$20*0))</f>
        <v>72.606882763217087</v>
      </c>
      <c r="U410">
        <v>408</v>
      </c>
      <c r="V410">
        <v>338</v>
      </c>
      <c r="W410">
        <v>162</v>
      </c>
    </row>
    <row r="411" spans="11:23" x14ac:dyDescent="0.3">
      <c r="K411">
        <v>410</v>
      </c>
      <c r="L411">
        <f t="shared" ca="1" si="8"/>
        <v>-229.78321790889254</v>
      </c>
      <c r="M411">
        <f ca="1">IF(L411&lt;=0,0,10^(MultiLogRegr1stWeek!$B$17+LOG10(L411)*MultiLogRegr1stWeek!$B$18+MultiLogRegr1stWeek!$B$19*14+MultiLogRegr1stWeek!$B$20*0))</f>
        <v>0</v>
      </c>
      <c r="U411">
        <v>409</v>
      </c>
      <c r="V411">
        <v>346</v>
      </c>
      <c r="W411">
        <v>165</v>
      </c>
    </row>
    <row r="412" spans="11:23" x14ac:dyDescent="0.3">
      <c r="K412">
        <v>411</v>
      </c>
      <c r="L412">
        <f t="shared" ca="1" si="8"/>
        <v>395.60487108753404</v>
      </c>
      <c r="M412">
        <f ca="1">IF(L412&lt;=0,0,10^(MultiLogRegr1stWeek!$B$17+LOG10(L412)*MultiLogRegr1stWeek!$B$18+MultiLogRegr1stWeek!$B$19*14+MultiLogRegr1stWeek!$B$20*0))</f>
        <v>178.52109431189939</v>
      </c>
      <c r="U412">
        <v>410</v>
      </c>
      <c r="V412">
        <v>325</v>
      </c>
      <c r="W412">
        <v>156</v>
      </c>
    </row>
    <row r="413" spans="11:23" x14ac:dyDescent="0.3">
      <c r="K413">
        <v>412</v>
      </c>
      <c r="L413">
        <f t="shared" ca="1" si="8"/>
        <v>591.64086688436771</v>
      </c>
      <c r="M413">
        <f ca="1">IF(L413&lt;=0,0,10^(MultiLogRegr1stWeek!$B$17+LOG10(L413)*MultiLogRegr1stWeek!$B$18+MultiLogRegr1stWeek!$B$19*14+MultiLogRegr1stWeek!$B$20*0))</f>
        <v>269.26332043551963</v>
      </c>
      <c r="U413">
        <v>411</v>
      </c>
      <c r="V413">
        <v>352</v>
      </c>
      <c r="W413">
        <v>167</v>
      </c>
    </row>
    <row r="414" spans="11:23" x14ac:dyDescent="0.3">
      <c r="K414">
        <v>413</v>
      </c>
      <c r="L414">
        <f t="shared" ca="1" si="8"/>
        <v>815.79051777853442</v>
      </c>
      <c r="M414">
        <f ca="1">IF(L414&lt;=0,0,10^(MultiLogRegr1stWeek!$B$17+LOG10(L414)*MultiLogRegr1stWeek!$B$18+MultiLogRegr1stWeek!$B$19*14+MultiLogRegr1stWeek!$B$20*0))</f>
        <v>373.80395729751859</v>
      </c>
      <c r="U414">
        <v>412</v>
      </c>
      <c r="V414">
        <v>342</v>
      </c>
      <c r="W414">
        <v>163</v>
      </c>
    </row>
    <row r="415" spans="11:23" x14ac:dyDescent="0.3">
      <c r="K415">
        <v>414</v>
      </c>
      <c r="L415">
        <f t="shared" ca="1" si="8"/>
        <v>530.43437602189465</v>
      </c>
      <c r="M415">
        <f ca="1">IF(L415&lt;=0,0,10^(MultiLogRegr1stWeek!$B$17+LOG10(L415)*MultiLogRegr1stWeek!$B$18+MultiLogRegr1stWeek!$B$19*14+MultiLogRegr1stWeek!$B$20*0))</f>
        <v>240.85141591855984</v>
      </c>
      <c r="U415">
        <v>413</v>
      </c>
      <c r="V415">
        <v>329</v>
      </c>
      <c r="W415">
        <v>157</v>
      </c>
    </row>
    <row r="416" spans="11:23" x14ac:dyDescent="0.3">
      <c r="K416">
        <v>415</v>
      </c>
      <c r="L416">
        <f t="shared" ca="1" si="8"/>
        <v>540.01368644435388</v>
      </c>
      <c r="M416">
        <f ca="1">IF(L416&lt;=0,0,10^(MultiLogRegr1stWeek!$B$17+LOG10(L416)*MultiLogRegr1stWeek!$B$18+MultiLogRegr1stWeek!$B$19*14+MultiLogRegr1stWeek!$B$20*0))</f>
        <v>245.29373221824241</v>
      </c>
      <c r="U416">
        <v>414</v>
      </c>
      <c r="V416">
        <v>344</v>
      </c>
      <c r="W416">
        <v>164</v>
      </c>
    </row>
    <row r="417" spans="11:23" x14ac:dyDescent="0.3">
      <c r="K417">
        <v>416</v>
      </c>
      <c r="L417">
        <f t="shared" ca="1" si="8"/>
        <v>135.55783734194884</v>
      </c>
      <c r="M417">
        <f ca="1">IF(L417&lt;=0,0,10^(MultiLogRegr1stWeek!$B$17+LOG10(L417)*MultiLogRegr1stWeek!$B$18+MultiLogRegr1stWeek!$B$19*14+MultiLogRegr1stWeek!$B$20*0))</f>
        <v>59.804022008886641</v>
      </c>
      <c r="U417">
        <v>415</v>
      </c>
      <c r="V417">
        <v>339</v>
      </c>
      <c r="W417">
        <v>163</v>
      </c>
    </row>
    <row r="418" spans="11:23" x14ac:dyDescent="0.3">
      <c r="K418">
        <v>417</v>
      </c>
      <c r="L418">
        <f t="shared" ca="1" si="8"/>
        <v>505.81530551152468</v>
      </c>
      <c r="M418">
        <f ca="1">IF(L418&lt;=0,0,10^(MultiLogRegr1stWeek!$B$17+LOG10(L418)*MultiLogRegr1stWeek!$B$18+MultiLogRegr1stWeek!$B$19*14+MultiLogRegr1stWeek!$B$20*0))</f>
        <v>229.44239470216039</v>
      </c>
      <c r="U418">
        <v>416</v>
      </c>
      <c r="V418">
        <v>350</v>
      </c>
      <c r="W418">
        <v>165</v>
      </c>
    </row>
    <row r="419" spans="11:23" x14ac:dyDescent="0.3">
      <c r="K419">
        <v>418</v>
      </c>
      <c r="L419">
        <f t="shared" ca="1" si="8"/>
        <v>57.057662627687307</v>
      </c>
      <c r="M419">
        <f ca="1">IF(L419&lt;=0,0,10^(MultiLogRegr1stWeek!$B$17+LOG10(L419)*MultiLogRegr1stWeek!$B$18+MultiLogRegr1stWeek!$B$19*14+MultiLogRegr1stWeek!$B$20*0))</f>
        <v>24.716323151756896</v>
      </c>
      <c r="U419">
        <v>417</v>
      </c>
      <c r="V419">
        <v>350</v>
      </c>
      <c r="W419">
        <v>167</v>
      </c>
    </row>
    <row r="420" spans="11:23" x14ac:dyDescent="0.3">
      <c r="K420">
        <v>419</v>
      </c>
      <c r="L420">
        <f t="shared" ca="1" si="8"/>
        <v>568.73358189822375</v>
      </c>
      <c r="M420">
        <f ca="1">IF(L420&lt;=0,0,10^(MultiLogRegr1stWeek!$B$17+LOG10(L420)*MultiLogRegr1stWeek!$B$18+MultiLogRegr1stWeek!$B$19*14+MultiLogRegr1stWeek!$B$20*0))</f>
        <v>258.62218042375815</v>
      </c>
      <c r="U420">
        <v>418</v>
      </c>
      <c r="V420">
        <v>344</v>
      </c>
      <c r="W420">
        <v>165</v>
      </c>
    </row>
    <row r="421" spans="11:23" x14ac:dyDescent="0.3">
      <c r="K421">
        <v>420</v>
      </c>
      <c r="L421">
        <f t="shared" ca="1" si="8"/>
        <v>239.56943955328478</v>
      </c>
      <c r="M421">
        <f ca="1">IF(L421&lt;=0,0,10^(MultiLogRegr1stWeek!$B$17+LOG10(L421)*MultiLogRegr1stWeek!$B$18+MultiLogRegr1stWeek!$B$19*14+MultiLogRegr1stWeek!$B$20*0))</f>
        <v>106.96937936304266</v>
      </c>
      <c r="U421">
        <v>419</v>
      </c>
      <c r="V421">
        <v>346</v>
      </c>
      <c r="W421">
        <v>164</v>
      </c>
    </row>
    <row r="422" spans="11:23" x14ac:dyDescent="0.3">
      <c r="K422">
        <v>421</v>
      </c>
      <c r="L422">
        <f t="shared" ca="1" si="8"/>
        <v>554.63798240464871</v>
      </c>
      <c r="M422">
        <f ca="1">IF(L422&lt;=0,0,10^(MultiLogRegr1stWeek!$B$17+LOG10(L422)*MultiLogRegr1stWeek!$B$18+MultiLogRegr1stWeek!$B$19*14+MultiLogRegr1stWeek!$B$20*0))</f>
        <v>252.07881422770015</v>
      </c>
      <c r="U422">
        <v>420</v>
      </c>
      <c r="V422">
        <v>330</v>
      </c>
      <c r="W422">
        <v>159</v>
      </c>
    </row>
    <row r="423" spans="11:23" x14ac:dyDescent="0.3">
      <c r="K423">
        <v>422</v>
      </c>
      <c r="L423">
        <f t="shared" ca="1" si="8"/>
        <v>742.41796645842032</v>
      </c>
      <c r="M423">
        <f ca="1">IF(L423&lt;=0,0,10^(MultiLogRegr1stWeek!$B$17+LOG10(L423)*MultiLogRegr1stWeek!$B$18+MultiLogRegr1stWeek!$B$19*14+MultiLogRegr1stWeek!$B$20*0))</f>
        <v>339.50752564300382</v>
      </c>
      <c r="U423">
        <v>421</v>
      </c>
      <c r="V423">
        <v>348</v>
      </c>
      <c r="W423">
        <v>168</v>
      </c>
    </row>
    <row r="424" spans="11:23" x14ac:dyDescent="0.3">
      <c r="K424">
        <v>423</v>
      </c>
      <c r="L424">
        <f t="shared" ca="1" si="8"/>
        <v>254.75768691987921</v>
      </c>
      <c r="M424">
        <f ca="1">IF(L424&lt;=0,0,10^(MultiLogRegr1stWeek!$B$17+LOG10(L424)*MultiLogRegr1stWeek!$B$18+MultiLogRegr1stWeek!$B$19*14+MultiLogRegr1stWeek!$B$20*0))</f>
        <v>113.89878321657692</v>
      </c>
      <c r="U424">
        <v>422</v>
      </c>
      <c r="V424">
        <v>349</v>
      </c>
      <c r="W424">
        <v>167</v>
      </c>
    </row>
    <row r="425" spans="11:23" x14ac:dyDescent="0.3">
      <c r="K425">
        <v>424</v>
      </c>
      <c r="L425">
        <f t="shared" ca="1" si="8"/>
        <v>273.77134664317259</v>
      </c>
      <c r="M425">
        <f ca="1">IF(L425&lt;=0,0,10^(MultiLogRegr1stWeek!$B$17+LOG10(L425)*MultiLogRegr1stWeek!$B$18+MultiLogRegr1stWeek!$B$19*14+MultiLogRegr1stWeek!$B$20*0))</f>
        <v>122.58572552221791</v>
      </c>
      <c r="U425">
        <v>423</v>
      </c>
      <c r="V425">
        <v>338</v>
      </c>
      <c r="W425">
        <v>163</v>
      </c>
    </row>
    <row r="426" spans="11:23" x14ac:dyDescent="0.3">
      <c r="K426">
        <v>425</v>
      </c>
      <c r="L426">
        <f t="shared" ca="1" si="8"/>
        <v>548.20633528940357</v>
      </c>
      <c r="M426">
        <f ca="1">IF(L426&lt;=0,0,10^(MultiLogRegr1stWeek!$B$17+LOG10(L426)*MultiLogRegr1stWeek!$B$18+MultiLogRegr1stWeek!$B$19*14+MultiLogRegr1stWeek!$B$20*0))</f>
        <v>249.09431865297776</v>
      </c>
      <c r="U426">
        <v>424</v>
      </c>
      <c r="V426">
        <v>319</v>
      </c>
      <c r="W426">
        <v>153</v>
      </c>
    </row>
    <row r="427" spans="11:23" x14ac:dyDescent="0.3">
      <c r="K427">
        <v>426</v>
      </c>
      <c r="L427">
        <f t="shared" ca="1" si="8"/>
        <v>281.47037700629414</v>
      </c>
      <c r="M427">
        <f ca="1">IF(L427&lt;=0,0,10^(MultiLogRegr1stWeek!$B$17+LOG10(L427)*MultiLogRegr1stWeek!$B$18+MultiLogRegr1stWeek!$B$19*14+MultiLogRegr1stWeek!$B$20*0))</f>
        <v>126.1069286441828</v>
      </c>
      <c r="U427">
        <v>425</v>
      </c>
      <c r="V427">
        <v>327</v>
      </c>
      <c r="W427">
        <v>158</v>
      </c>
    </row>
    <row r="428" spans="11:23" x14ac:dyDescent="0.3">
      <c r="K428">
        <v>427</v>
      </c>
      <c r="L428">
        <f t="shared" ca="1" si="8"/>
        <v>344.90189319273168</v>
      </c>
      <c r="M428">
        <f ca="1">IF(L428&lt;=0,0,10^(MultiLogRegr1stWeek!$B$17+LOG10(L428)*MultiLogRegr1stWeek!$B$18+MultiLogRegr1stWeek!$B$19*14+MultiLogRegr1stWeek!$B$20*0))</f>
        <v>155.19068530905966</v>
      </c>
      <c r="U428">
        <v>426</v>
      </c>
      <c r="V428">
        <v>331</v>
      </c>
      <c r="W428">
        <v>158</v>
      </c>
    </row>
    <row r="429" spans="11:23" x14ac:dyDescent="0.3">
      <c r="K429">
        <v>428</v>
      </c>
      <c r="L429">
        <f t="shared" ca="1" si="8"/>
        <v>500.64513423235701</v>
      </c>
      <c r="M429">
        <f ca="1">IF(L429&lt;=0,0,10^(MultiLogRegr1stWeek!$B$17+LOG10(L429)*MultiLogRegr1stWeek!$B$18+MultiLogRegr1stWeek!$B$19*14+MultiLogRegr1stWeek!$B$20*0))</f>
        <v>227.04789398336251</v>
      </c>
      <c r="U429">
        <v>427</v>
      </c>
      <c r="V429">
        <v>343</v>
      </c>
      <c r="W429">
        <v>163</v>
      </c>
    </row>
    <row r="430" spans="11:23" x14ac:dyDescent="0.3">
      <c r="K430">
        <v>429</v>
      </c>
      <c r="L430">
        <f t="shared" ca="1" si="8"/>
        <v>97.606321937109612</v>
      </c>
      <c r="M430">
        <f ca="1">IF(L430&lt;=0,0,10^(MultiLogRegr1stWeek!$B$17+LOG10(L430)*MultiLogRegr1stWeek!$B$18+MultiLogRegr1stWeek!$B$19*14+MultiLogRegr1stWeek!$B$20*0))</f>
        <v>42.763326842229425</v>
      </c>
      <c r="U430">
        <v>428</v>
      </c>
      <c r="V430">
        <v>343</v>
      </c>
      <c r="W430">
        <v>163</v>
      </c>
    </row>
    <row r="431" spans="11:23" x14ac:dyDescent="0.3">
      <c r="K431">
        <v>430</v>
      </c>
      <c r="L431">
        <f t="shared" ca="1" si="8"/>
        <v>706.95795955138522</v>
      </c>
      <c r="M431">
        <f ca="1">IF(L431&lt;=0,0,10^(MultiLogRegr1stWeek!$B$17+LOG10(L431)*MultiLogRegr1stWeek!$B$18+MultiLogRegr1stWeek!$B$19*14+MultiLogRegr1stWeek!$B$20*0))</f>
        <v>322.95773318977785</v>
      </c>
      <c r="U431">
        <v>429</v>
      </c>
      <c r="V431">
        <v>335</v>
      </c>
      <c r="W431">
        <v>162</v>
      </c>
    </row>
    <row r="432" spans="11:23" x14ac:dyDescent="0.3">
      <c r="K432">
        <v>431</v>
      </c>
      <c r="L432">
        <f t="shared" ca="1" si="8"/>
        <v>824.02905434735226</v>
      </c>
      <c r="M432">
        <f ca="1">IF(L432&lt;=0,0,10^(MultiLogRegr1stWeek!$B$17+LOG10(L432)*MultiLogRegr1stWeek!$B$18+MultiLogRegr1stWeek!$B$19*14+MultiLogRegr1stWeek!$B$20*0))</f>
        <v>377.65906786878168</v>
      </c>
      <c r="U432">
        <v>430</v>
      </c>
      <c r="V432">
        <v>344</v>
      </c>
      <c r="W432">
        <v>164</v>
      </c>
    </row>
    <row r="433" spans="11:23" x14ac:dyDescent="0.3">
      <c r="K433">
        <v>432</v>
      </c>
      <c r="L433">
        <f t="shared" ca="1" si="8"/>
        <v>161.41827194305176</v>
      </c>
      <c r="M433">
        <f ca="1">IF(L433&lt;=0,0,10^(MultiLogRegr1stWeek!$B$17+LOG10(L433)*MultiLogRegr1stWeek!$B$18+MultiLogRegr1stWeek!$B$19*14+MultiLogRegr1stWeek!$B$20*0))</f>
        <v>71.475909718727308</v>
      </c>
      <c r="U433">
        <v>431</v>
      </c>
      <c r="V433">
        <v>339</v>
      </c>
      <c r="W433">
        <v>162</v>
      </c>
    </row>
    <row r="434" spans="11:23" x14ac:dyDescent="0.3">
      <c r="K434">
        <v>433</v>
      </c>
      <c r="L434">
        <f t="shared" ca="1" si="8"/>
        <v>133.29006491458364</v>
      </c>
      <c r="M434">
        <f ca="1">IF(L434&lt;=0,0,10^(MultiLogRegr1stWeek!$B$17+LOG10(L434)*MultiLogRegr1stWeek!$B$18+MultiLogRegr1stWeek!$B$19*14+MultiLogRegr1stWeek!$B$20*0))</f>
        <v>58.782604113910551</v>
      </c>
      <c r="U434">
        <v>432</v>
      </c>
      <c r="V434">
        <v>321</v>
      </c>
      <c r="W434">
        <v>155</v>
      </c>
    </row>
    <row r="435" spans="11:23" x14ac:dyDescent="0.3">
      <c r="K435">
        <v>434</v>
      </c>
      <c r="L435">
        <f t="shared" ca="1" si="8"/>
        <v>314.58278423844752</v>
      </c>
      <c r="M435">
        <f ca="1">IF(L435&lt;=0,0,10^(MultiLogRegr1stWeek!$B$17+LOG10(L435)*MultiLogRegr1stWeek!$B$18+MultiLogRegr1stWeek!$B$19*14+MultiLogRegr1stWeek!$B$20*0))</f>
        <v>141.27365745645025</v>
      </c>
      <c r="U435">
        <v>433</v>
      </c>
      <c r="V435">
        <v>331</v>
      </c>
      <c r="W435">
        <v>161</v>
      </c>
    </row>
    <row r="436" spans="11:23" x14ac:dyDescent="0.3">
      <c r="K436">
        <v>435</v>
      </c>
      <c r="L436">
        <f t="shared" ca="1" si="8"/>
        <v>821.00835760171776</v>
      </c>
      <c r="M436">
        <f ca="1">IF(L436&lt;=0,0,10^(MultiLogRegr1stWeek!$B$17+LOG10(L436)*MultiLogRegr1stWeek!$B$18+MultiLogRegr1stWeek!$B$19*14+MultiLogRegr1stWeek!$B$20*0))</f>
        <v>376.24547918290057</v>
      </c>
      <c r="U436">
        <v>434</v>
      </c>
      <c r="V436">
        <v>347</v>
      </c>
      <c r="W436">
        <v>167</v>
      </c>
    </row>
    <row r="437" spans="11:23" x14ac:dyDescent="0.3">
      <c r="K437">
        <v>436</v>
      </c>
      <c r="L437">
        <f t="shared" ca="1" si="8"/>
        <v>277.19110961382216</v>
      </c>
      <c r="M437">
        <f ca="1">IF(L437&lt;=0,0,10^(MultiLogRegr1stWeek!$B$17+LOG10(L437)*MultiLogRegr1stWeek!$B$18+MultiLogRegr1stWeek!$B$19*14+MultiLogRegr1stWeek!$B$20*0))</f>
        <v>124.14952234867958</v>
      </c>
      <c r="U437">
        <v>435</v>
      </c>
      <c r="V437">
        <v>333</v>
      </c>
      <c r="W437">
        <v>160</v>
      </c>
    </row>
    <row r="438" spans="11:23" x14ac:dyDescent="0.3">
      <c r="K438">
        <v>437</v>
      </c>
      <c r="L438">
        <f t="shared" ca="1" si="8"/>
        <v>110.41816491385924</v>
      </c>
      <c r="M438">
        <f ca="1">IF(L438&lt;=0,0,10^(MultiLogRegr1stWeek!$B$17+LOG10(L438)*MultiLogRegr1stWeek!$B$18+MultiLogRegr1stWeek!$B$19*14+MultiLogRegr1stWeek!$B$20*0))</f>
        <v>48.502611831466893</v>
      </c>
      <c r="U438">
        <v>436</v>
      </c>
      <c r="V438">
        <v>346</v>
      </c>
      <c r="W438">
        <v>165</v>
      </c>
    </row>
    <row r="439" spans="11:23" x14ac:dyDescent="0.3">
      <c r="K439">
        <v>438</v>
      </c>
      <c r="L439">
        <f t="shared" ca="1" si="8"/>
        <v>660.23057904295001</v>
      </c>
      <c r="M439">
        <f ca="1">IF(L439&lt;=0,0,10^(MultiLogRegr1stWeek!$B$17+LOG10(L439)*MultiLogRegr1stWeek!$B$18+MultiLogRegr1stWeek!$B$19*14+MultiLogRegr1stWeek!$B$20*0))</f>
        <v>301.17617446177206</v>
      </c>
      <c r="U439">
        <v>437</v>
      </c>
      <c r="V439">
        <v>337</v>
      </c>
      <c r="W439">
        <v>162</v>
      </c>
    </row>
    <row r="440" spans="11:23" x14ac:dyDescent="0.3">
      <c r="K440">
        <v>439</v>
      </c>
      <c r="L440">
        <f t="shared" ca="1" si="8"/>
        <v>521.91837513529163</v>
      </c>
      <c r="M440">
        <f ca="1">IF(L440&lt;=0,0,10^(MultiLogRegr1stWeek!$B$17+LOG10(L440)*MultiLogRegr1stWeek!$B$18+MultiLogRegr1stWeek!$B$19*14+MultiLogRegr1stWeek!$B$20*0))</f>
        <v>236.90362087762492</v>
      </c>
      <c r="U440">
        <v>438</v>
      </c>
      <c r="V440">
        <v>337</v>
      </c>
      <c r="W440">
        <v>163</v>
      </c>
    </row>
    <row r="441" spans="11:23" x14ac:dyDescent="0.3">
      <c r="K441">
        <v>440</v>
      </c>
      <c r="L441">
        <f t="shared" ca="1" si="8"/>
        <v>503.07223740164761</v>
      </c>
      <c r="M441">
        <f ca="1">IF(L441&lt;=0,0,10^(MultiLogRegr1stWeek!$B$17+LOG10(L441)*MultiLogRegr1stWeek!$B$18+MultiLogRegr1stWeek!$B$19*14+MultiLogRegr1stWeek!$B$20*0))</f>
        <v>228.17191201972082</v>
      </c>
      <c r="U441">
        <v>439</v>
      </c>
      <c r="V441">
        <v>332</v>
      </c>
      <c r="W441">
        <v>158</v>
      </c>
    </row>
    <row r="442" spans="11:23" x14ac:dyDescent="0.3">
      <c r="K442">
        <v>441</v>
      </c>
      <c r="L442">
        <f t="shared" ca="1" si="8"/>
        <v>-35.65878156736926</v>
      </c>
      <c r="M442">
        <f ca="1">IF(L442&lt;=0,0,10^(MultiLogRegr1stWeek!$B$17+LOG10(L442)*MultiLogRegr1stWeek!$B$18+MultiLogRegr1stWeek!$B$19*14+MultiLogRegr1stWeek!$B$20*0))</f>
        <v>0</v>
      </c>
      <c r="U442">
        <v>440</v>
      </c>
      <c r="V442">
        <v>342</v>
      </c>
      <c r="W442">
        <v>164</v>
      </c>
    </row>
    <row r="443" spans="11:23" x14ac:dyDescent="0.3">
      <c r="K443">
        <v>442</v>
      </c>
      <c r="L443">
        <f t="shared" ca="1" si="8"/>
        <v>438.8900727607496</v>
      </c>
      <c r="M443">
        <f ca="1">IF(L443&lt;=0,0,10^(MultiLogRegr1stWeek!$B$17+LOG10(L443)*MultiLogRegr1stWeek!$B$18+MultiLogRegr1stWeek!$B$19*14+MultiLogRegr1stWeek!$B$20*0))</f>
        <v>198.4887541460235</v>
      </c>
      <c r="U443">
        <v>441</v>
      </c>
      <c r="V443">
        <v>339</v>
      </c>
      <c r="W443">
        <v>162</v>
      </c>
    </row>
    <row r="444" spans="11:23" x14ac:dyDescent="0.3">
      <c r="K444">
        <v>443</v>
      </c>
      <c r="L444">
        <f t="shared" ca="1" si="8"/>
        <v>248.33445110798402</v>
      </c>
      <c r="M444">
        <f ca="1">IF(L444&lt;=0,0,10^(MultiLogRegr1stWeek!$B$17+LOG10(L444)*MultiLogRegr1stWeek!$B$18+MultiLogRegr1stWeek!$B$19*14+MultiLogRegr1stWeek!$B$20*0))</f>
        <v>110.96718511243888</v>
      </c>
      <c r="U444">
        <v>442</v>
      </c>
      <c r="V444">
        <v>325</v>
      </c>
      <c r="W444">
        <v>156</v>
      </c>
    </row>
    <row r="445" spans="11:23" x14ac:dyDescent="0.3">
      <c r="K445">
        <v>444</v>
      </c>
      <c r="L445">
        <f t="shared" ca="1" si="8"/>
        <v>164.00210977001311</v>
      </c>
      <c r="M445">
        <f ca="1">IF(L445&lt;=0,0,10^(MultiLogRegr1stWeek!$B$17+LOG10(L445)*MultiLogRegr1stWeek!$B$18+MultiLogRegr1stWeek!$B$19*14+MultiLogRegr1stWeek!$B$20*0))</f>
        <v>72.644387969020769</v>
      </c>
      <c r="U445">
        <v>443</v>
      </c>
      <c r="V445">
        <v>336</v>
      </c>
      <c r="W445">
        <v>160</v>
      </c>
    </row>
    <row r="446" spans="11:23" x14ac:dyDescent="0.3">
      <c r="K446">
        <v>445</v>
      </c>
      <c r="L446">
        <f t="shared" ca="1" si="8"/>
        <v>716.49300290278052</v>
      </c>
      <c r="M446">
        <f ca="1">IF(L446&lt;=0,0,10^(MultiLogRegr1stWeek!$B$17+LOG10(L446)*MultiLogRegr1stWeek!$B$18+MultiLogRegr1stWeek!$B$19*14+MultiLogRegr1stWeek!$B$20*0))</f>
        <v>327.40621390975662</v>
      </c>
      <c r="U446">
        <v>444</v>
      </c>
      <c r="V446">
        <v>332</v>
      </c>
      <c r="W446">
        <v>158</v>
      </c>
    </row>
    <row r="447" spans="11:23" x14ac:dyDescent="0.3">
      <c r="K447">
        <v>446</v>
      </c>
      <c r="L447">
        <f t="shared" ca="1" si="8"/>
        <v>285.54369612567666</v>
      </c>
      <c r="M447">
        <f ca="1">IF(L447&lt;=0,0,10^(MultiLogRegr1stWeek!$B$17+LOG10(L447)*MultiLogRegr1stWeek!$B$18+MultiLogRegr1stWeek!$B$19*14+MultiLogRegr1stWeek!$B$20*0))</f>
        <v>127.97071488730013</v>
      </c>
      <c r="U447">
        <v>445</v>
      </c>
      <c r="V447">
        <v>349</v>
      </c>
      <c r="W447">
        <v>165</v>
      </c>
    </row>
    <row r="448" spans="11:23" x14ac:dyDescent="0.3">
      <c r="K448">
        <v>447</v>
      </c>
      <c r="L448">
        <f t="shared" ca="1" si="8"/>
        <v>150.79096733662544</v>
      </c>
      <c r="M448">
        <f ca="1">IF(L448&lt;=0,0,10^(MultiLogRegr1stWeek!$B$17+LOG10(L448)*MultiLogRegr1stWeek!$B$18+MultiLogRegr1stWeek!$B$19*14+MultiLogRegr1stWeek!$B$20*0))</f>
        <v>66.67419017009999</v>
      </c>
      <c r="U448">
        <v>446</v>
      </c>
      <c r="V448">
        <v>332</v>
      </c>
      <c r="W448">
        <v>159</v>
      </c>
    </row>
    <row r="449" spans="11:23" x14ac:dyDescent="0.3">
      <c r="K449">
        <v>448</v>
      </c>
      <c r="L449">
        <f t="shared" ca="1" si="8"/>
        <v>692.74063421006213</v>
      </c>
      <c r="M449">
        <f ca="1">IF(L449&lt;=0,0,10^(MultiLogRegr1stWeek!$B$17+LOG10(L449)*MultiLogRegr1stWeek!$B$18+MultiLogRegr1stWeek!$B$19*14+MultiLogRegr1stWeek!$B$20*0))</f>
        <v>316.32713768572785</v>
      </c>
      <c r="U449">
        <v>447</v>
      </c>
      <c r="V449">
        <v>339</v>
      </c>
      <c r="W449">
        <v>161</v>
      </c>
    </row>
    <row r="450" spans="11:23" x14ac:dyDescent="0.3">
      <c r="K450">
        <v>449</v>
      </c>
      <c r="L450">
        <f t="shared" ca="1" si="8"/>
        <v>-107.43211028843444</v>
      </c>
      <c r="M450">
        <f ca="1">IF(L450&lt;=0,0,10^(MultiLogRegr1stWeek!$B$17+LOG10(L450)*MultiLogRegr1stWeek!$B$18+MultiLogRegr1stWeek!$B$19*14+MultiLogRegr1stWeek!$B$20*0))</f>
        <v>0</v>
      </c>
      <c r="U450">
        <v>448</v>
      </c>
      <c r="V450">
        <v>344</v>
      </c>
      <c r="W450">
        <v>164</v>
      </c>
    </row>
    <row r="451" spans="11:23" x14ac:dyDescent="0.3">
      <c r="K451">
        <v>450</v>
      </c>
      <c r="L451">
        <f t="shared" ref="L451:L514" ca="1" si="9">_xlfn.NORM.INV(RAND(),$S$3,$S$2)</f>
        <v>417.52400430272274</v>
      </c>
      <c r="M451">
        <f ca="1">IF(L451&lt;=0,0,10^(MultiLogRegr1stWeek!$B$17+LOG10(L451)*MultiLogRegr1stWeek!$B$18+MultiLogRegr1stWeek!$B$19*14+MultiLogRegr1stWeek!$B$20*0))</f>
        <v>188.62702176853907</v>
      </c>
      <c r="U451">
        <v>449</v>
      </c>
      <c r="V451">
        <v>350</v>
      </c>
      <c r="W451">
        <v>166</v>
      </c>
    </row>
    <row r="452" spans="11:23" x14ac:dyDescent="0.3">
      <c r="K452">
        <v>451</v>
      </c>
      <c r="L452">
        <f t="shared" ca="1" si="9"/>
        <v>551.33165499693223</v>
      </c>
      <c r="M452">
        <f ca="1">IF(L452&lt;=0,0,10^(MultiLogRegr1stWeek!$B$17+LOG10(L452)*MultiLogRegr1stWeek!$B$18+MultiLogRegr1stWeek!$B$19*14+MultiLogRegr1stWeek!$B$20*0))</f>
        <v>250.54447786272539</v>
      </c>
      <c r="U452">
        <v>450</v>
      </c>
      <c r="V452">
        <v>335</v>
      </c>
      <c r="W452">
        <v>159</v>
      </c>
    </row>
    <row r="453" spans="11:23" x14ac:dyDescent="0.3">
      <c r="K453">
        <v>452</v>
      </c>
      <c r="L453">
        <f t="shared" ca="1" si="9"/>
        <v>-38.175804636300995</v>
      </c>
      <c r="M453">
        <f ca="1">IF(L453&lt;=0,0,10^(MultiLogRegr1stWeek!$B$17+LOG10(L453)*MultiLogRegr1stWeek!$B$18+MultiLogRegr1stWeek!$B$19*14+MultiLogRegr1stWeek!$B$20*0))</f>
        <v>0</v>
      </c>
      <c r="U453">
        <v>451</v>
      </c>
      <c r="V453">
        <v>358</v>
      </c>
      <c r="W453">
        <v>168</v>
      </c>
    </row>
    <row r="454" spans="11:23" x14ac:dyDescent="0.3">
      <c r="K454">
        <v>453</v>
      </c>
      <c r="L454">
        <f t="shared" ca="1" si="9"/>
        <v>700.69987169584215</v>
      </c>
      <c r="M454">
        <f ca="1">IF(L454&lt;=0,0,10^(MultiLogRegr1stWeek!$B$17+LOG10(L454)*MultiLogRegr1stWeek!$B$18+MultiLogRegr1stWeek!$B$19*14+MultiLogRegr1stWeek!$B$20*0))</f>
        <v>320.03877136531992</v>
      </c>
      <c r="U454">
        <v>452</v>
      </c>
      <c r="V454">
        <v>357</v>
      </c>
      <c r="W454">
        <v>169</v>
      </c>
    </row>
    <row r="455" spans="11:23" x14ac:dyDescent="0.3">
      <c r="K455">
        <v>454</v>
      </c>
      <c r="L455">
        <f t="shared" ca="1" si="9"/>
        <v>37.392321444380855</v>
      </c>
      <c r="M455">
        <f ca="1">IF(L455&lt;=0,0,10^(MultiLogRegr1stWeek!$B$17+LOG10(L455)*MultiLogRegr1stWeek!$B$18+MultiLogRegr1stWeek!$B$19*14+MultiLogRegr1stWeek!$B$20*0))</f>
        <v>16.053759020646819</v>
      </c>
      <c r="U455">
        <v>453</v>
      </c>
      <c r="V455">
        <v>344</v>
      </c>
      <c r="W455">
        <v>162</v>
      </c>
    </row>
    <row r="456" spans="11:23" x14ac:dyDescent="0.3">
      <c r="K456">
        <v>455</v>
      </c>
      <c r="L456">
        <f t="shared" ca="1" si="9"/>
        <v>-167.86714536362337</v>
      </c>
      <c r="M456">
        <f ca="1">IF(L456&lt;=0,0,10^(MultiLogRegr1stWeek!$B$17+LOG10(L456)*MultiLogRegr1stWeek!$B$18+MultiLogRegr1stWeek!$B$19*14+MultiLogRegr1stWeek!$B$20*0))</f>
        <v>0</v>
      </c>
      <c r="U456">
        <v>454</v>
      </c>
      <c r="V456">
        <v>332</v>
      </c>
      <c r="W456">
        <v>159</v>
      </c>
    </row>
    <row r="457" spans="11:23" x14ac:dyDescent="0.3">
      <c r="K457">
        <v>456</v>
      </c>
      <c r="L457">
        <f t="shared" ca="1" si="9"/>
        <v>-388.84271485107104</v>
      </c>
      <c r="M457">
        <f ca="1">IF(L457&lt;=0,0,10^(MultiLogRegr1stWeek!$B$17+LOG10(L457)*MultiLogRegr1stWeek!$B$18+MultiLogRegr1stWeek!$B$19*14+MultiLogRegr1stWeek!$B$20*0))</f>
        <v>0</v>
      </c>
      <c r="U457">
        <v>455</v>
      </c>
      <c r="V457">
        <v>337</v>
      </c>
      <c r="W457">
        <v>163</v>
      </c>
    </row>
    <row r="458" spans="11:23" x14ac:dyDescent="0.3">
      <c r="K458">
        <v>457</v>
      </c>
      <c r="L458">
        <f t="shared" ca="1" si="9"/>
        <v>480.26329263038383</v>
      </c>
      <c r="M458">
        <f ca="1">IF(L458&lt;=0,0,10^(MultiLogRegr1stWeek!$B$17+LOG10(L458)*MultiLogRegr1stWeek!$B$18+MultiLogRegr1stWeek!$B$19*14+MultiLogRegr1stWeek!$B$20*0))</f>
        <v>217.6134345744035</v>
      </c>
      <c r="U458">
        <v>456</v>
      </c>
      <c r="V458">
        <v>344</v>
      </c>
      <c r="W458">
        <v>163</v>
      </c>
    </row>
    <row r="459" spans="11:23" x14ac:dyDescent="0.3">
      <c r="K459">
        <v>458</v>
      </c>
      <c r="L459">
        <f t="shared" ca="1" si="9"/>
        <v>319.38485905775877</v>
      </c>
      <c r="M459">
        <f ca="1">IF(L459&lt;=0,0,10^(MultiLogRegr1stWeek!$B$17+LOG10(L459)*MultiLogRegr1stWeek!$B$18+MultiLogRegr1stWeek!$B$19*14+MultiLogRegr1stWeek!$B$20*0))</f>
        <v>143.47607761776669</v>
      </c>
      <c r="U459">
        <v>457</v>
      </c>
      <c r="V459">
        <v>347</v>
      </c>
      <c r="W459">
        <v>165</v>
      </c>
    </row>
    <row r="460" spans="11:23" x14ac:dyDescent="0.3">
      <c r="K460">
        <v>459</v>
      </c>
      <c r="L460">
        <f t="shared" ca="1" si="9"/>
        <v>671.30107722480807</v>
      </c>
      <c r="M460">
        <f ca="1">IF(L460&lt;=0,0,10^(MultiLogRegr1stWeek!$B$17+LOG10(L460)*MultiLogRegr1stWeek!$B$18+MultiLogRegr1stWeek!$B$19*14+MultiLogRegr1stWeek!$B$20*0))</f>
        <v>306.33373073778529</v>
      </c>
      <c r="U460">
        <v>458</v>
      </c>
      <c r="V460">
        <v>348</v>
      </c>
      <c r="W460">
        <v>167</v>
      </c>
    </row>
    <row r="461" spans="11:23" x14ac:dyDescent="0.3">
      <c r="K461">
        <v>460</v>
      </c>
      <c r="L461">
        <f t="shared" ca="1" si="9"/>
        <v>572.3883685090143</v>
      </c>
      <c r="M461">
        <f ca="1">IF(L461&lt;=0,0,10^(MultiLogRegr1stWeek!$B$17+LOG10(L461)*MultiLogRegr1stWeek!$B$18+MultiLogRegr1stWeek!$B$19*14+MultiLogRegr1stWeek!$B$20*0))</f>
        <v>260.31934397366189</v>
      </c>
      <c r="U461">
        <v>459</v>
      </c>
      <c r="V461">
        <v>334</v>
      </c>
      <c r="W461">
        <v>160</v>
      </c>
    </row>
    <row r="462" spans="11:23" x14ac:dyDescent="0.3">
      <c r="K462">
        <v>461</v>
      </c>
      <c r="L462">
        <f t="shared" ca="1" si="9"/>
        <v>175.78411692228173</v>
      </c>
      <c r="M462">
        <f ca="1">IF(L462&lt;=0,0,10^(MultiLogRegr1stWeek!$B$17+LOG10(L462)*MultiLogRegr1stWeek!$B$18+MultiLogRegr1stWeek!$B$19*14+MultiLogRegr1stWeek!$B$20*0))</f>
        <v>77.977357817403743</v>
      </c>
      <c r="U462">
        <v>460</v>
      </c>
      <c r="V462">
        <v>343</v>
      </c>
      <c r="W462">
        <v>163</v>
      </c>
    </row>
    <row r="463" spans="11:23" x14ac:dyDescent="0.3">
      <c r="K463">
        <v>462</v>
      </c>
      <c r="L463">
        <f t="shared" ca="1" si="9"/>
        <v>465.49921677102776</v>
      </c>
      <c r="M463">
        <f ca="1">IF(L463&lt;=0,0,10^(MultiLogRegr1stWeek!$B$17+LOG10(L463)*MultiLogRegr1stWeek!$B$18+MultiLogRegr1stWeek!$B$19*14+MultiLogRegr1stWeek!$B$20*0))</f>
        <v>210.78461678412211</v>
      </c>
      <c r="U463">
        <v>461</v>
      </c>
      <c r="V463">
        <v>323</v>
      </c>
      <c r="W463">
        <v>156</v>
      </c>
    </row>
    <row r="464" spans="11:23" x14ac:dyDescent="0.3">
      <c r="K464">
        <v>463</v>
      </c>
      <c r="L464">
        <f t="shared" ca="1" si="9"/>
        <v>592.59390786364725</v>
      </c>
      <c r="M464">
        <f ca="1">IF(L464&lt;=0,0,10^(MultiLogRegr1stWeek!$B$17+LOG10(L464)*MultiLogRegr1stWeek!$B$18+MultiLogRegr1stWeek!$B$19*14+MultiLogRegr1stWeek!$B$20*0))</f>
        <v>269.70622826745597</v>
      </c>
      <c r="U464">
        <v>462</v>
      </c>
      <c r="V464">
        <v>343</v>
      </c>
      <c r="W464">
        <v>164</v>
      </c>
    </row>
    <row r="465" spans="11:23" x14ac:dyDescent="0.3">
      <c r="K465">
        <v>464</v>
      </c>
      <c r="L465">
        <f t="shared" ca="1" si="9"/>
        <v>294.447337331386</v>
      </c>
      <c r="M465">
        <f ca="1">IF(L465&lt;=0,0,10^(MultiLogRegr1stWeek!$B$17+LOG10(L465)*MultiLogRegr1stWeek!$B$18+MultiLogRegr1stWeek!$B$19*14+MultiLogRegr1stWeek!$B$20*0))</f>
        <v>132.0466059156299</v>
      </c>
      <c r="U465">
        <v>463</v>
      </c>
      <c r="V465">
        <v>348</v>
      </c>
      <c r="W465">
        <v>166</v>
      </c>
    </row>
    <row r="466" spans="11:23" x14ac:dyDescent="0.3">
      <c r="K466">
        <v>465</v>
      </c>
      <c r="L466">
        <f t="shared" ca="1" si="9"/>
        <v>476.18033973777631</v>
      </c>
      <c r="M466">
        <f ca="1">IF(L466&lt;=0,0,10^(MultiLogRegr1stWeek!$B$17+LOG10(L466)*MultiLogRegr1stWeek!$B$18+MultiLogRegr1stWeek!$B$19*14+MultiLogRegr1stWeek!$B$20*0))</f>
        <v>215.72449982734892</v>
      </c>
      <c r="U466">
        <v>464</v>
      </c>
      <c r="V466">
        <v>330</v>
      </c>
      <c r="W466">
        <v>158</v>
      </c>
    </row>
    <row r="467" spans="11:23" x14ac:dyDescent="0.3">
      <c r="K467">
        <v>466</v>
      </c>
      <c r="L467">
        <f t="shared" ca="1" si="9"/>
        <v>555.49297877857907</v>
      </c>
      <c r="M467">
        <f ca="1">IF(L467&lt;=0,0,10^(MultiLogRegr1stWeek!$B$17+LOG10(L467)*MultiLogRegr1stWeek!$B$18+MultiLogRegr1stWeek!$B$19*14+MultiLogRegr1stWeek!$B$20*0))</f>
        <v>252.47561585813443</v>
      </c>
      <c r="U467">
        <v>465</v>
      </c>
      <c r="V467">
        <v>338</v>
      </c>
      <c r="W467">
        <v>161</v>
      </c>
    </row>
    <row r="468" spans="11:23" x14ac:dyDescent="0.3">
      <c r="K468">
        <v>467</v>
      </c>
      <c r="L468">
        <f t="shared" ca="1" si="9"/>
        <v>480.64920591097518</v>
      </c>
      <c r="M468">
        <f ca="1">IF(L468&lt;=0,0,10^(MultiLogRegr1stWeek!$B$17+LOG10(L468)*MultiLogRegr1stWeek!$B$18+MultiLogRegr1stWeek!$B$19*14+MultiLogRegr1stWeek!$B$20*0))</f>
        <v>217.79199083724478</v>
      </c>
      <c r="U468">
        <v>466</v>
      </c>
      <c r="V468">
        <v>341</v>
      </c>
      <c r="W468">
        <v>163</v>
      </c>
    </row>
    <row r="469" spans="11:23" x14ac:dyDescent="0.3">
      <c r="K469">
        <v>468</v>
      </c>
      <c r="L469">
        <f t="shared" ca="1" si="9"/>
        <v>80.10515453079131</v>
      </c>
      <c r="M469">
        <f ca="1">IF(L469&lt;=0,0,10^(MultiLogRegr1stWeek!$B$17+LOG10(L469)*MultiLogRegr1stWeek!$B$18+MultiLogRegr1stWeek!$B$19*14+MultiLogRegr1stWeek!$B$20*0))</f>
        <v>34.949568568322704</v>
      </c>
      <c r="U469">
        <v>467</v>
      </c>
      <c r="V469">
        <v>320</v>
      </c>
      <c r="W469">
        <v>155</v>
      </c>
    </row>
    <row r="470" spans="11:23" x14ac:dyDescent="0.3">
      <c r="K470">
        <v>469</v>
      </c>
      <c r="L470">
        <f t="shared" ca="1" si="9"/>
        <v>300.07332519966434</v>
      </c>
      <c r="M470">
        <f ca="1">IF(L470&lt;=0,0,10^(MultiLogRegr1stWeek!$B$17+LOG10(L470)*MultiLogRegr1stWeek!$B$18+MultiLogRegr1stWeek!$B$19*14+MultiLogRegr1stWeek!$B$20*0))</f>
        <v>134.6234066556818</v>
      </c>
      <c r="U470">
        <v>468</v>
      </c>
      <c r="V470">
        <v>335</v>
      </c>
      <c r="W470">
        <v>159</v>
      </c>
    </row>
    <row r="471" spans="11:23" x14ac:dyDescent="0.3">
      <c r="K471">
        <v>470</v>
      </c>
      <c r="L471">
        <f t="shared" ca="1" si="9"/>
        <v>826.87177932483382</v>
      </c>
      <c r="M471">
        <f ca="1">IF(L471&lt;=0,0,10^(MultiLogRegr1stWeek!$B$17+LOG10(L471)*MultiLogRegr1stWeek!$B$18+MultiLogRegr1stWeek!$B$19*14+MultiLogRegr1stWeek!$B$20*0))</f>
        <v>378.98947145992861</v>
      </c>
      <c r="U471">
        <v>469</v>
      </c>
      <c r="V471">
        <v>331</v>
      </c>
      <c r="W471">
        <v>160</v>
      </c>
    </row>
    <row r="472" spans="11:23" x14ac:dyDescent="0.3">
      <c r="K472">
        <v>471</v>
      </c>
      <c r="L472">
        <f t="shared" ca="1" si="9"/>
        <v>248.78685877447936</v>
      </c>
      <c r="M472">
        <f ca="1">IF(L472&lt;=0,0,10^(MultiLogRegr1stWeek!$B$17+LOG10(L472)*MultiLogRegr1stWeek!$B$18+MultiLogRegr1stWeek!$B$19*14+MultiLogRegr1stWeek!$B$20*0))</f>
        <v>111.17361437982953</v>
      </c>
      <c r="U472">
        <v>470</v>
      </c>
      <c r="V472">
        <v>344</v>
      </c>
      <c r="W472">
        <v>165</v>
      </c>
    </row>
    <row r="473" spans="11:23" x14ac:dyDescent="0.3">
      <c r="K473">
        <v>472</v>
      </c>
      <c r="L473">
        <f t="shared" ca="1" si="9"/>
        <v>373.88384205808444</v>
      </c>
      <c r="M473">
        <f ca="1">IF(L473&lt;=0,0,10^(MultiLogRegr1stWeek!$B$17+LOG10(L473)*MultiLogRegr1stWeek!$B$18+MultiLogRegr1stWeek!$B$19*14+MultiLogRegr1stWeek!$B$20*0))</f>
        <v>168.51816508061535</v>
      </c>
      <c r="U473">
        <v>471</v>
      </c>
      <c r="V473">
        <v>343</v>
      </c>
      <c r="W473">
        <v>164</v>
      </c>
    </row>
    <row r="474" spans="11:23" x14ac:dyDescent="0.3">
      <c r="K474">
        <v>473</v>
      </c>
      <c r="L474">
        <f t="shared" ca="1" si="9"/>
        <v>-15.012005921409923</v>
      </c>
      <c r="M474">
        <f ca="1">IF(L474&lt;=0,0,10^(MultiLogRegr1stWeek!$B$17+LOG10(L474)*MultiLogRegr1stWeek!$B$18+MultiLogRegr1stWeek!$B$19*14+MultiLogRegr1stWeek!$B$20*0))</f>
        <v>0</v>
      </c>
      <c r="U474">
        <v>472</v>
      </c>
      <c r="V474">
        <v>341</v>
      </c>
      <c r="W474">
        <v>162</v>
      </c>
    </row>
    <row r="475" spans="11:23" x14ac:dyDescent="0.3">
      <c r="K475">
        <v>474</v>
      </c>
      <c r="L475">
        <f t="shared" ca="1" si="9"/>
        <v>426.01349311678638</v>
      </c>
      <c r="M475">
        <f ca="1">IF(L475&lt;=0,0,10^(MultiLogRegr1stWeek!$B$17+LOG10(L475)*MultiLogRegr1stWeek!$B$18+MultiLogRegr1stWeek!$B$19*14+MultiLogRegr1stWeek!$B$20*0))</f>
        <v>192.54418782257372</v>
      </c>
      <c r="U475">
        <v>473</v>
      </c>
      <c r="V475">
        <v>332</v>
      </c>
      <c r="W475">
        <v>159</v>
      </c>
    </row>
    <row r="476" spans="11:23" x14ac:dyDescent="0.3">
      <c r="K476">
        <v>475</v>
      </c>
      <c r="L476">
        <f t="shared" ca="1" si="9"/>
        <v>158.39785780784229</v>
      </c>
      <c r="M476">
        <f ca="1">IF(L476&lt;=0,0,10^(MultiLogRegr1stWeek!$B$17+LOG10(L476)*MultiLogRegr1stWeek!$B$18+MultiLogRegr1stWeek!$B$19*14+MultiLogRegr1stWeek!$B$20*0))</f>
        <v>70.11050146570004</v>
      </c>
      <c r="U476">
        <v>474</v>
      </c>
      <c r="V476">
        <v>346</v>
      </c>
      <c r="W476">
        <v>165</v>
      </c>
    </row>
    <row r="477" spans="11:23" x14ac:dyDescent="0.3">
      <c r="K477">
        <v>476</v>
      </c>
      <c r="L477">
        <f t="shared" ca="1" si="9"/>
        <v>634.16561857938518</v>
      </c>
      <c r="M477">
        <f ca="1">IF(L477&lt;=0,0,10^(MultiLogRegr1stWeek!$B$17+LOG10(L477)*MultiLogRegr1stWeek!$B$18+MultiLogRegr1stWeek!$B$19*14+MultiLogRegr1stWeek!$B$20*0))</f>
        <v>289.04021897870479</v>
      </c>
      <c r="U477">
        <v>475</v>
      </c>
      <c r="V477">
        <v>333</v>
      </c>
      <c r="W477">
        <v>159</v>
      </c>
    </row>
    <row r="478" spans="11:23" x14ac:dyDescent="0.3">
      <c r="K478">
        <v>477</v>
      </c>
      <c r="L478">
        <f t="shared" ca="1" si="9"/>
        <v>770.61897158426746</v>
      </c>
      <c r="M478">
        <f ca="1">IF(L478&lt;=0,0,10^(MultiLogRegr1stWeek!$B$17+LOG10(L478)*MultiLogRegr1stWeek!$B$18+MultiLogRegr1stWeek!$B$19*14+MultiLogRegr1stWeek!$B$20*0))</f>
        <v>352.6813817583232</v>
      </c>
      <c r="U478">
        <v>476</v>
      </c>
      <c r="V478">
        <v>341</v>
      </c>
      <c r="W478">
        <v>163</v>
      </c>
    </row>
    <row r="479" spans="11:23" x14ac:dyDescent="0.3">
      <c r="K479">
        <v>478</v>
      </c>
      <c r="L479">
        <f t="shared" ca="1" si="9"/>
        <v>715.01904741960129</v>
      </c>
      <c r="M479">
        <f ca="1">IF(L479&lt;=0,0,10^(MultiLogRegr1stWeek!$B$17+LOG10(L479)*MultiLogRegr1stWeek!$B$18+MultiLogRegr1stWeek!$B$19*14+MultiLogRegr1stWeek!$B$20*0))</f>
        <v>326.7184723616158</v>
      </c>
      <c r="U479">
        <v>477</v>
      </c>
      <c r="V479">
        <v>343</v>
      </c>
      <c r="W479">
        <v>165</v>
      </c>
    </row>
    <row r="480" spans="11:23" x14ac:dyDescent="0.3">
      <c r="K480">
        <v>479</v>
      </c>
      <c r="L480">
        <f t="shared" ca="1" si="9"/>
        <v>269.45685530786307</v>
      </c>
      <c r="M480">
        <f ca="1">IF(L480&lt;=0,0,10^(MultiLogRegr1stWeek!$B$17+LOG10(L480)*MultiLogRegr1stWeek!$B$18+MultiLogRegr1stWeek!$B$19*14+MultiLogRegr1stWeek!$B$20*0))</f>
        <v>120.61337437797506</v>
      </c>
      <c r="U480">
        <v>478</v>
      </c>
      <c r="V480">
        <v>335</v>
      </c>
      <c r="W480">
        <v>160</v>
      </c>
    </row>
    <row r="481" spans="11:23" x14ac:dyDescent="0.3">
      <c r="K481">
        <v>480</v>
      </c>
      <c r="L481">
        <f t="shared" ca="1" si="9"/>
        <v>474.16109159466811</v>
      </c>
      <c r="M481">
        <f ca="1">IF(L481&lt;=0,0,10^(MultiLogRegr1stWeek!$B$17+LOG10(L481)*MultiLogRegr1stWeek!$B$18+MultiLogRegr1stWeek!$B$19*14+MultiLogRegr1stWeek!$B$20*0))</f>
        <v>214.79044235175627</v>
      </c>
      <c r="U481">
        <v>479</v>
      </c>
      <c r="V481">
        <v>341</v>
      </c>
      <c r="W481">
        <v>165</v>
      </c>
    </row>
    <row r="482" spans="11:23" x14ac:dyDescent="0.3">
      <c r="K482">
        <v>481</v>
      </c>
      <c r="L482">
        <f t="shared" ca="1" si="9"/>
        <v>675.04305377525043</v>
      </c>
      <c r="M482">
        <f ca="1">IF(L482&lt;=0,0,10^(MultiLogRegr1stWeek!$B$17+LOG10(L482)*MultiLogRegr1stWeek!$B$18+MultiLogRegr1stWeek!$B$19*14+MultiLogRegr1stWeek!$B$20*0))</f>
        <v>308.07746146619593</v>
      </c>
      <c r="U482">
        <v>480</v>
      </c>
      <c r="V482">
        <v>323</v>
      </c>
      <c r="W482">
        <v>157</v>
      </c>
    </row>
    <row r="483" spans="11:23" x14ac:dyDescent="0.3">
      <c r="K483">
        <v>482</v>
      </c>
      <c r="L483">
        <f t="shared" ca="1" si="9"/>
        <v>-222.82642875221075</v>
      </c>
      <c r="M483">
        <f ca="1">IF(L483&lt;=0,0,10^(MultiLogRegr1stWeek!$B$17+LOG10(L483)*MultiLogRegr1stWeek!$B$18+MultiLogRegr1stWeek!$B$19*14+MultiLogRegr1stWeek!$B$20*0))</f>
        <v>0</v>
      </c>
      <c r="U483">
        <v>481</v>
      </c>
      <c r="V483">
        <v>351</v>
      </c>
      <c r="W483">
        <v>167</v>
      </c>
    </row>
    <row r="484" spans="11:23" x14ac:dyDescent="0.3">
      <c r="K484">
        <v>483</v>
      </c>
      <c r="L484">
        <f t="shared" ca="1" si="9"/>
        <v>631.72866643337784</v>
      </c>
      <c r="M484">
        <f ca="1">IF(L484&lt;=0,0,10^(MultiLogRegr1stWeek!$B$17+LOG10(L484)*MultiLogRegr1stWeek!$B$18+MultiLogRegr1stWeek!$B$19*14+MultiLogRegr1stWeek!$B$20*0))</f>
        <v>287.90609557479382</v>
      </c>
      <c r="U484">
        <v>482</v>
      </c>
      <c r="V484">
        <v>341</v>
      </c>
      <c r="W484">
        <v>163</v>
      </c>
    </row>
    <row r="485" spans="11:23" x14ac:dyDescent="0.3">
      <c r="K485">
        <v>484</v>
      </c>
      <c r="L485">
        <f t="shared" ca="1" si="9"/>
        <v>-125.98496761693661</v>
      </c>
      <c r="M485">
        <f ca="1">IF(L485&lt;=0,0,10^(MultiLogRegr1stWeek!$B$17+LOG10(L485)*MultiLogRegr1stWeek!$B$18+MultiLogRegr1stWeek!$B$19*14+MultiLogRegr1stWeek!$B$20*0))</f>
        <v>0</v>
      </c>
      <c r="U485">
        <v>483</v>
      </c>
      <c r="V485">
        <v>346</v>
      </c>
      <c r="W485">
        <v>165</v>
      </c>
    </row>
    <row r="486" spans="11:23" x14ac:dyDescent="0.3">
      <c r="K486">
        <v>485</v>
      </c>
      <c r="L486">
        <f t="shared" ca="1" si="9"/>
        <v>499.33610476213698</v>
      </c>
      <c r="M486">
        <f ca="1">IF(L486&lt;=0,0,10^(MultiLogRegr1stWeek!$B$17+LOG10(L486)*MultiLogRegr1stWeek!$B$18+MultiLogRegr1stWeek!$B$19*14+MultiLogRegr1stWeek!$B$20*0))</f>
        <v>226.44171584087886</v>
      </c>
      <c r="U486">
        <v>484</v>
      </c>
      <c r="V486">
        <v>337</v>
      </c>
      <c r="W486">
        <v>160</v>
      </c>
    </row>
    <row r="487" spans="11:23" x14ac:dyDescent="0.3">
      <c r="K487">
        <v>486</v>
      </c>
      <c r="L487">
        <f t="shared" ca="1" si="9"/>
        <v>-200.38268104490373</v>
      </c>
      <c r="M487">
        <f ca="1">IF(L487&lt;=0,0,10^(MultiLogRegr1stWeek!$B$17+LOG10(L487)*MultiLogRegr1stWeek!$B$18+MultiLogRegr1stWeek!$B$19*14+MultiLogRegr1stWeek!$B$20*0))</f>
        <v>0</v>
      </c>
      <c r="U487">
        <v>485</v>
      </c>
      <c r="V487">
        <v>339</v>
      </c>
      <c r="W487">
        <v>164</v>
      </c>
    </row>
    <row r="488" spans="11:23" x14ac:dyDescent="0.3">
      <c r="K488">
        <v>487</v>
      </c>
      <c r="L488">
        <f t="shared" ca="1" si="9"/>
        <v>-19.300581567209804</v>
      </c>
      <c r="M488">
        <f ca="1">IF(L488&lt;=0,0,10^(MultiLogRegr1stWeek!$B$17+LOG10(L488)*MultiLogRegr1stWeek!$B$18+MultiLogRegr1stWeek!$B$19*14+MultiLogRegr1stWeek!$B$20*0))</f>
        <v>0</v>
      </c>
      <c r="U488">
        <v>486</v>
      </c>
      <c r="V488">
        <v>334</v>
      </c>
      <c r="W488">
        <v>160</v>
      </c>
    </row>
    <row r="489" spans="11:23" x14ac:dyDescent="0.3">
      <c r="K489">
        <v>488</v>
      </c>
      <c r="L489">
        <f t="shared" ca="1" si="9"/>
        <v>124.96564081364488</v>
      </c>
      <c r="M489">
        <f ca="1">IF(L489&lt;=0,0,10^(MultiLogRegr1stWeek!$B$17+LOG10(L489)*MultiLogRegr1stWeek!$B$18+MultiLogRegr1stWeek!$B$19*14+MultiLogRegr1stWeek!$B$20*0))</f>
        <v>55.036428668241712</v>
      </c>
      <c r="U489">
        <v>487</v>
      </c>
      <c r="V489">
        <v>344</v>
      </c>
      <c r="W489">
        <v>165</v>
      </c>
    </row>
    <row r="490" spans="11:23" x14ac:dyDescent="0.3">
      <c r="K490">
        <v>489</v>
      </c>
      <c r="L490">
        <f t="shared" ca="1" si="9"/>
        <v>214.15344385384086</v>
      </c>
      <c r="M490">
        <f ca="1">IF(L490&lt;=0,0,10^(MultiLogRegr1stWeek!$B$17+LOG10(L490)*MultiLogRegr1stWeek!$B$18+MultiLogRegr1stWeek!$B$19*14+MultiLogRegr1stWeek!$B$20*0))</f>
        <v>95.394778834462343</v>
      </c>
      <c r="U490">
        <v>488</v>
      </c>
      <c r="V490">
        <v>331</v>
      </c>
      <c r="W490">
        <v>159</v>
      </c>
    </row>
    <row r="491" spans="11:23" x14ac:dyDescent="0.3">
      <c r="K491">
        <v>490</v>
      </c>
      <c r="L491">
        <f t="shared" ca="1" si="9"/>
        <v>491.22426254790616</v>
      </c>
      <c r="M491">
        <f ca="1">IF(L491&lt;=0,0,10^(MultiLogRegr1stWeek!$B$17+LOG10(L491)*MultiLogRegr1stWeek!$B$18+MultiLogRegr1stWeek!$B$19*14+MultiLogRegr1stWeek!$B$20*0))</f>
        <v>222.68608033122135</v>
      </c>
      <c r="U491">
        <v>489</v>
      </c>
      <c r="V491">
        <v>341</v>
      </c>
      <c r="W491">
        <v>163</v>
      </c>
    </row>
    <row r="492" spans="11:23" x14ac:dyDescent="0.3">
      <c r="K492">
        <v>491</v>
      </c>
      <c r="L492">
        <f t="shared" ca="1" si="9"/>
        <v>441.10206591170675</v>
      </c>
      <c r="M492">
        <f ca="1">IF(L492&lt;=0,0,10^(MultiLogRegr1stWeek!$B$17+LOG10(L492)*MultiLogRegr1stWeek!$B$18+MultiLogRegr1stWeek!$B$19*14+MultiLogRegr1stWeek!$B$20*0))</f>
        <v>199.5103105911663</v>
      </c>
      <c r="U492">
        <v>490</v>
      </c>
      <c r="V492">
        <v>331</v>
      </c>
      <c r="W492">
        <v>159</v>
      </c>
    </row>
    <row r="493" spans="11:23" x14ac:dyDescent="0.3">
      <c r="K493">
        <v>492</v>
      </c>
      <c r="L493">
        <f t="shared" ca="1" si="9"/>
        <v>-328.98254979477247</v>
      </c>
      <c r="M493">
        <f ca="1">IF(L493&lt;=0,0,10^(MultiLogRegr1stWeek!$B$17+LOG10(L493)*MultiLogRegr1stWeek!$B$18+MultiLogRegr1stWeek!$B$19*14+MultiLogRegr1stWeek!$B$20*0))</f>
        <v>0</v>
      </c>
      <c r="U493">
        <v>491</v>
      </c>
      <c r="V493">
        <v>340</v>
      </c>
      <c r="W493">
        <v>163</v>
      </c>
    </row>
    <row r="494" spans="11:23" x14ac:dyDescent="0.3">
      <c r="K494">
        <v>493</v>
      </c>
      <c r="L494">
        <f t="shared" ca="1" si="9"/>
        <v>176.97154302932734</v>
      </c>
      <c r="M494">
        <f ca="1">IF(L494&lt;=0,0,10^(MultiLogRegr1stWeek!$B$17+LOG10(L494)*MultiLogRegr1stWeek!$B$18+MultiLogRegr1stWeek!$B$19*14+MultiLogRegr1stWeek!$B$20*0))</f>
        <v>78.515258075724688</v>
      </c>
      <c r="U494">
        <v>492</v>
      </c>
      <c r="V494">
        <v>347</v>
      </c>
      <c r="W494">
        <v>166</v>
      </c>
    </row>
    <row r="495" spans="11:23" x14ac:dyDescent="0.3">
      <c r="K495">
        <v>494</v>
      </c>
      <c r="L495">
        <f t="shared" ca="1" si="9"/>
        <v>-265.13482751978609</v>
      </c>
      <c r="M495">
        <f ca="1">IF(L495&lt;=0,0,10^(MultiLogRegr1stWeek!$B$17+LOG10(L495)*MultiLogRegr1stWeek!$B$18+MultiLogRegr1stWeek!$B$19*14+MultiLogRegr1stWeek!$B$20*0))</f>
        <v>0</v>
      </c>
      <c r="U495">
        <v>493</v>
      </c>
      <c r="V495">
        <v>329</v>
      </c>
      <c r="W495">
        <v>158</v>
      </c>
    </row>
    <row r="496" spans="11:23" x14ac:dyDescent="0.3">
      <c r="K496">
        <v>495</v>
      </c>
      <c r="L496">
        <f t="shared" ca="1" si="9"/>
        <v>286.76039542746207</v>
      </c>
      <c r="M496">
        <f ca="1">IF(L496&lt;=0,0,10^(MultiLogRegr1stWeek!$B$17+LOG10(L496)*MultiLogRegr1stWeek!$B$18+MultiLogRegr1stWeek!$B$19*14+MultiLogRegr1stWeek!$B$20*0))</f>
        <v>128.52753659669287</v>
      </c>
      <c r="U496">
        <v>494</v>
      </c>
      <c r="V496">
        <v>349</v>
      </c>
      <c r="W496">
        <v>166</v>
      </c>
    </row>
    <row r="497" spans="11:23" x14ac:dyDescent="0.3">
      <c r="K497">
        <v>496</v>
      </c>
      <c r="L497">
        <f t="shared" ca="1" si="9"/>
        <v>134.23715928044149</v>
      </c>
      <c r="M497">
        <f ca="1">IF(L497&lt;=0,0,10^(MultiLogRegr1stWeek!$B$17+LOG10(L497)*MultiLogRegr1stWeek!$B$18+MultiLogRegr1stWeek!$B$19*14+MultiLogRegr1stWeek!$B$20*0))</f>
        <v>59.209136655813388</v>
      </c>
      <c r="U497">
        <v>495</v>
      </c>
      <c r="V497">
        <v>324</v>
      </c>
      <c r="W497">
        <v>157</v>
      </c>
    </row>
    <row r="498" spans="11:23" x14ac:dyDescent="0.3">
      <c r="K498">
        <v>497</v>
      </c>
      <c r="L498">
        <f t="shared" ca="1" si="9"/>
        <v>265.6719058223764</v>
      </c>
      <c r="M498">
        <f ca="1">IF(L498&lt;=0,0,10^(MultiLogRegr1stWeek!$B$17+LOG10(L498)*MultiLogRegr1stWeek!$B$18+MultiLogRegr1stWeek!$B$19*14+MultiLogRegr1stWeek!$B$20*0))</f>
        <v>118.8836497182831</v>
      </c>
      <c r="U498">
        <v>496</v>
      </c>
      <c r="V498">
        <v>332</v>
      </c>
      <c r="W498">
        <v>158</v>
      </c>
    </row>
    <row r="499" spans="11:23" x14ac:dyDescent="0.3">
      <c r="K499">
        <v>498</v>
      </c>
      <c r="L499">
        <f t="shared" ca="1" si="9"/>
        <v>432.96790290863248</v>
      </c>
      <c r="M499">
        <f ca="1">IF(L499&lt;=0,0,10^(MultiLogRegr1stWeek!$B$17+LOG10(L499)*MultiLogRegr1stWeek!$B$18+MultiLogRegr1stWeek!$B$19*14+MultiLogRegr1stWeek!$B$20*0))</f>
        <v>195.7542774584609</v>
      </c>
      <c r="U499">
        <v>497</v>
      </c>
      <c r="V499">
        <v>331</v>
      </c>
      <c r="W499">
        <v>160</v>
      </c>
    </row>
    <row r="500" spans="11:23" x14ac:dyDescent="0.3">
      <c r="K500">
        <v>499</v>
      </c>
      <c r="L500">
        <f t="shared" ca="1" si="9"/>
        <v>262.03909892266813</v>
      </c>
      <c r="M500">
        <f ca="1">IF(L500&lt;=0,0,10^(MultiLogRegr1stWeek!$B$17+LOG10(L500)*MultiLogRegr1stWeek!$B$18+MultiLogRegr1stWeek!$B$19*14+MultiLogRegr1stWeek!$B$20*0))</f>
        <v>117.22394360138431</v>
      </c>
      <c r="U500">
        <v>498</v>
      </c>
      <c r="V500">
        <v>336</v>
      </c>
      <c r="W500">
        <v>161</v>
      </c>
    </row>
    <row r="501" spans="11:23" x14ac:dyDescent="0.3">
      <c r="K501">
        <v>500</v>
      </c>
      <c r="L501">
        <f t="shared" ca="1" si="9"/>
        <v>229.60696091150479</v>
      </c>
      <c r="M501">
        <f ca="1">IF(L501&lt;=0,0,10^(MultiLogRegr1stWeek!$B$17+LOG10(L501)*MultiLogRegr1stWeek!$B$18+MultiLogRegr1stWeek!$B$19*14+MultiLogRegr1stWeek!$B$20*0))</f>
        <v>102.42915345143655</v>
      </c>
      <c r="U501">
        <v>499</v>
      </c>
      <c r="V501">
        <v>339</v>
      </c>
      <c r="W501">
        <v>162</v>
      </c>
    </row>
    <row r="502" spans="11:23" x14ac:dyDescent="0.3">
      <c r="K502">
        <v>501</v>
      </c>
      <c r="L502">
        <f t="shared" ca="1" si="9"/>
        <v>772.91683808901166</v>
      </c>
      <c r="M502">
        <f ca="1">IF(L502&lt;=0,0,10^(MultiLogRegr1stWeek!$B$17+LOG10(L502)*MultiLogRegr1stWeek!$B$18+MultiLogRegr1stWeek!$B$19*14+MultiLogRegr1stWeek!$B$20*0))</f>
        <v>353.75526400184071</v>
      </c>
      <c r="U502">
        <v>500</v>
      </c>
      <c r="V502">
        <v>340</v>
      </c>
      <c r="W502">
        <v>162</v>
      </c>
    </row>
    <row r="503" spans="11:23" x14ac:dyDescent="0.3">
      <c r="K503">
        <v>502</v>
      </c>
      <c r="L503">
        <f t="shared" ca="1" si="9"/>
        <v>614.70922980241176</v>
      </c>
      <c r="M503">
        <f ca="1">IF(L503&lt;=0,0,10^(MultiLogRegr1stWeek!$B$17+LOG10(L503)*MultiLogRegr1stWeek!$B$18+MultiLogRegr1stWeek!$B$19*14+MultiLogRegr1stWeek!$B$20*0))</f>
        <v>279.98808329819434</v>
      </c>
      <c r="U503">
        <v>501</v>
      </c>
      <c r="V503">
        <v>351</v>
      </c>
      <c r="W503">
        <v>167</v>
      </c>
    </row>
    <row r="504" spans="11:23" x14ac:dyDescent="0.3">
      <c r="K504">
        <v>503</v>
      </c>
      <c r="L504">
        <f t="shared" ca="1" si="9"/>
        <v>129.97496752169818</v>
      </c>
      <c r="M504">
        <f ca="1">IF(L504&lt;=0,0,10^(MultiLogRegr1stWeek!$B$17+LOG10(L504)*MultiLogRegr1stWeek!$B$18+MultiLogRegr1stWeek!$B$19*14+MultiLogRegr1stWeek!$B$20*0))</f>
        <v>57.290126909886752</v>
      </c>
      <c r="U504">
        <v>502</v>
      </c>
      <c r="V504">
        <v>337</v>
      </c>
      <c r="W504">
        <v>162</v>
      </c>
    </row>
    <row r="505" spans="11:23" x14ac:dyDescent="0.3">
      <c r="K505">
        <v>504</v>
      </c>
      <c r="L505">
        <f t="shared" ca="1" si="9"/>
        <v>773.27813542318427</v>
      </c>
      <c r="M505">
        <f ca="1">IF(L505&lt;=0,0,10^(MultiLogRegr1stWeek!$B$17+LOG10(L505)*MultiLogRegr1stWeek!$B$18+MultiLogRegr1stWeek!$B$19*14+MultiLogRegr1stWeek!$B$20*0))</f>
        <v>353.92411841388861</v>
      </c>
      <c r="U505">
        <v>503</v>
      </c>
      <c r="V505">
        <v>334</v>
      </c>
      <c r="W505">
        <v>160</v>
      </c>
    </row>
    <row r="506" spans="11:23" x14ac:dyDescent="0.3">
      <c r="K506">
        <v>505</v>
      </c>
      <c r="L506">
        <f t="shared" ca="1" si="9"/>
        <v>512.31856392329064</v>
      </c>
      <c r="M506">
        <f ca="1">IF(L506&lt;=0,0,10^(MultiLogRegr1stWeek!$B$17+LOG10(L506)*MultiLogRegr1stWeek!$B$18+MultiLogRegr1stWeek!$B$19*14+MultiLogRegr1stWeek!$B$20*0))</f>
        <v>232.45503157166206</v>
      </c>
      <c r="U506">
        <v>504</v>
      </c>
      <c r="V506">
        <v>321</v>
      </c>
      <c r="W506">
        <v>155</v>
      </c>
    </row>
    <row r="507" spans="11:23" x14ac:dyDescent="0.3">
      <c r="K507">
        <v>506</v>
      </c>
      <c r="L507">
        <f t="shared" ca="1" si="9"/>
        <v>805.10218544469353</v>
      </c>
      <c r="M507">
        <f ca="1">IF(L507&lt;=0,0,10^(MultiLogRegr1stWeek!$B$17+LOG10(L507)*MultiLogRegr1stWeek!$B$18+MultiLogRegr1stWeek!$B$19*14+MultiLogRegr1stWeek!$B$20*0))</f>
        <v>368.80372454255951</v>
      </c>
      <c r="U507">
        <v>505</v>
      </c>
      <c r="V507">
        <v>342</v>
      </c>
      <c r="W507">
        <v>162</v>
      </c>
    </row>
    <row r="508" spans="11:23" x14ac:dyDescent="0.3">
      <c r="K508">
        <v>507</v>
      </c>
      <c r="L508">
        <f t="shared" ca="1" si="9"/>
        <v>-212.88494047652136</v>
      </c>
      <c r="M508">
        <f ca="1">IF(L508&lt;=0,0,10^(MultiLogRegr1stWeek!$B$17+LOG10(L508)*MultiLogRegr1stWeek!$B$18+MultiLogRegr1stWeek!$B$19*14+MultiLogRegr1stWeek!$B$20*0))</f>
        <v>0</v>
      </c>
      <c r="U508">
        <v>506</v>
      </c>
      <c r="V508">
        <v>332</v>
      </c>
      <c r="W508">
        <v>161</v>
      </c>
    </row>
    <row r="509" spans="11:23" x14ac:dyDescent="0.3">
      <c r="K509">
        <v>508</v>
      </c>
      <c r="L509">
        <f t="shared" ca="1" si="9"/>
        <v>836.77014647495764</v>
      </c>
      <c r="M509">
        <f ca="1">IF(L509&lt;=0,0,10^(MultiLogRegr1stWeek!$B$17+LOG10(L509)*MultiLogRegr1stWeek!$B$18+MultiLogRegr1stWeek!$B$19*14+MultiLogRegr1stWeek!$B$20*0))</f>
        <v>383.62268779669404</v>
      </c>
      <c r="U509">
        <v>507</v>
      </c>
      <c r="V509">
        <v>336</v>
      </c>
      <c r="W509">
        <v>161</v>
      </c>
    </row>
    <row r="510" spans="11:23" x14ac:dyDescent="0.3">
      <c r="K510">
        <v>509</v>
      </c>
      <c r="L510">
        <f t="shared" ca="1" si="9"/>
        <v>-24.725625985501779</v>
      </c>
      <c r="M510">
        <f ca="1">IF(L510&lt;=0,0,10^(MultiLogRegr1stWeek!$B$17+LOG10(L510)*MultiLogRegr1stWeek!$B$18+MultiLogRegr1stWeek!$B$19*14+MultiLogRegr1stWeek!$B$20*0))</f>
        <v>0</v>
      </c>
      <c r="U510">
        <v>508</v>
      </c>
      <c r="V510">
        <v>344</v>
      </c>
      <c r="W510">
        <v>165</v>
      </c>
    </row>
    <row r="511" spans="11:23" x14ac:dyDescent="0.3">
      <c r="K511">
        <v>510</v>
      </c>
      <c r="L511">
        <f t="shared" ca="1" si="9"/>
        <v>811.03627200699088</v>
      </c>
      <c r="M511">
        <f ca="1">IF(L511&lt;=0,0,10^(MultiLogRegr1stWeek!$B$17+LOG10(L511)*MultiLogRegr1stWeek!$B$18+MultiLogRegr1stWeek!$B$19*14+MultiLogRegr1stWeek!$B$20*0))</f>
        <v>371.57964651999521</v>
      </c>
      <c r="U511">
        <v>509</v>
      </c>
      <c r="V511">
        <v>338</v>
      </c>
      <c r="W511">
        <v>164</v>
      </c>
    </row>
    <row r="512" spans="11:23" x14ac:dyDescent="0.3">
      <c r="K512">
        <v>511</v>
      </c>
      <c r="L512">
        <f t="shared" ca="1" si="9"/>
        <v>617.51189051396591</v>
      </c>
      <c r="M512">
        <f ca="1">IF(L512&lt;=0,0,10^(MultiLogRegr1stWeek!$B$17+LOG10(L512)*MultiLogRegr1stWeek!$B$18+MultiLogRegr1stWeek!$B$19*14+MultiLogRegr1stWeek!$B$20*0))</f>
        <v>281.29165998255297</v>
      </c>
      <c r="U512">
        <v>510</v>
      </c>
      <c r="V512">
        <v>323</v>
      </c>
      <c r="W512">
        <v>157</v>
      </c>
    </row>
    <row r="513" spans="11:23" x14ac:dyDescent="0.3">
      <c r="K513">
        <v>512</v>
      </c>
      <c r="L513">
        <f t="shared" ca="1" si="9"/>
        <v>798.76397026914674</v>
      </c>
      <c r="M513">
        <f ca="1">IF(L513&lt;=0,0,10^(MultiLogRegr1stWeek!$B$17+LOG10(L513)*MultiLogRegr1stWeek!$B$18+MultiLogRegr1stWeek!$B$19*14+MultiLogRegr1stWeek!$B$20*0))</f>
        <v>365.83923141229963</v>
      </c>
      <c r="U513">
        <v>511</v>
      </c>
      <c r="V513">
        <v>330</v>
      </c>
      <c r="W513">
        <v>159</v>
      </c>
    </row>
    <row r="514" spans="11:23" x14ac:dyDescent="0.3">
      <c r="K514">
        <v>513</v>
      </c>
      <c r="L514">
        <f t="shared" ca="1" si="9"/>
        <v>-263.87484801224457</v>
      </c>
      <c r="M514">
        <f ca="1">IF(L514&lt;=0,0,10^(MultiLogRegr1stWeek!$B$17+LOG10(L514)*MultiLogRegr1stWeek!$B$18+MultiLogRegr1stWeek!$B$19*14+MultiLogRegr1stWeek!$B$20*0))</f>
        <v>0</v>
      </c>
      <c r="U514">
        <v>512</v>
      </c>
      <c r="V514">
        <v>331</v>
      </c>
      <c r="W514">
        <v>159</v>
      </c>
    </row>
    <row r="515" spans="11:23" x14ac:dyDescent="0.3">
      <c r="K515">
        <v>514</v>
      </c>
      <c r="L515">
        <f t="shared" ref="L515:L578" ca="1" si="10">_xlfn.NORM.INV(RAND(),$S$3,$S$2)</f>
        <v>473.39369058186116</v>
      </c>
      <c r="M515">
        <f ca="1">IF(L515&lt;=0,0,10^(MultiLogRegr1stWeek!$B$17+LOG10(L515)*MultiLogRegr1stWeek!$B$18+MultiLogRegr1stWeek!$B$19*14+MultiLogRegr1stWeek!$B$20*0))</f>
        <v>214.43548240432798</v>
      </c>
      <c r="U515">
        <v>513</v>
      </c>
      <c r="V515">
        <v>320</v>
      </c>
      <c r="W515">
        <v>155</v>
      </c>
    </row>
    <row r="516" spans="11:23" x14ac:dyDescent="0.3">
      <c r="K516">
        <v>515</v>
      </c>
      <c r="L516">
        <f t="shared" ca="1" si="10"/>
        <v>20.407131373082734</v>
      </c>
      <c r="M516">
        <f ca="1">IF(L516&lt;=0,0,10^(MultiLogRegr1stWeek!$B$17+LOG10(L516)*MultiLogRegr1stWeek!$B$18+MultiLogRegr1stWeek!$B$19*14+MultiLogRegr1stWeek!$B$20*0))</f>
        <v>8.6501288142211994</v>
      </c>
      <c r="U516">
        <v>514</v>
      </c>
      <c r="V516">
        <v>351</v>
      </c>
      <c r="W516">
        <v>168</v>
      </c>
    </row>
    <row r="517" spans="11:23" x14ac:dyDescent="0.3">
      <c r="K517">
        <v>516</v>
      </c>
      <c r="L517">
        <f t="shared" ca="1" si="10"/>
        <v>-101.38094218152736</v>
      </c>
      <c r="M517">
        <f ca="1">IF(L517&lt;=0,0,10^(MultiLogRegr1stWeek!$B$17+LOG10(L517)*MultiLogRegr1stWeek!$B$18+MultiLogRegr1stWeek!$B$19*14+MultiLogRegr1stWeek!$B$20*0))</f>
        <v>0</v>
      </c>
      <c r="U517">
        <v>515</v>
      </c>
      <c r="V517">
        <v>340</v>
      </c>
      <c r="W517">
        <v>163</v>
      </c>
    </row>
    <row r="518" spans="11:23" x14ac:dyDescent="0.3">
      <c r="K518">
        <v>517</v>
      </c>
      <c r="L518">
        <f t="shared" ca="1" si="10"/>
        <v>265.06265386303579</v>
      </c>
      <c r="M518">
        <f ca="1">IF(L518&lt;=0,0,10^(MultiLogRegr1stWeek!$B$17+LOG10(L518)*MultiLogRegr1stWeek!$B$18+MultiLogRegr1stWeek!$B$19*14+MultiLogRegr1stWeek!$B$20*0))</f>
        <v>118.60526955873407</v>
      </c>
      <c r="U518">
        <v>516</v>
      </c>
      <c r="V518">
        <v>347</v>
      </c>
      <c r="W518">
        <v>165</v>
      </c>
    </row>
    <row r="519" spans="11:23" x14ac:dyDescent="0.3">
      <c r="K519">
        <v>518</v>
      </c>
      <c r="L519">
        <f t="shared" ca="1" si="10"/>
        <v>443.64838921833655</v>
      </c>
      <c r="M519">
        <f ca="1">IF(L519&lt;=0,0,10^(MultiLogRegr1stWeek!$B$17+LOG10(L519)*MultiLogRegr1stWeek!$B$18+MultiLogRegr1stWeek!$B$19*14+MultiLogRegr1stWeek!$B$20*0))</f>
        <v>200.68640338183735</v>
      </c>
      <c r="U519">
        <v>517</v>
      </c>
      <c r="V519">
        <v>350</v>
      </c>
      <c r="W519">
        <v>166</v>
      </c>
    </row>
    <row r="520" spans="11:23" x14ac:dyDescent="0.3">
      <c r="K520">
        <v>519</v>
      </c>
      <c r="L520">
        <f t="shared" ca="1" si="10"/>
        <v>132.88291189810602</v>
      </c>
      <c r="M520">
        <f ca="1">IF(L520&lt;=0,0,10^(MultiLogRegr1stWeek!$B$17+LOG10(L520)*MultiLogRegr1stWeek!$B$18+MultiLogRegr1stWeek!$B$19*14+MultiLogRegr1stWeek!$B$20*0))</f>
        <v>58.599258701318433</v>
      </c>
      <c r="U520">
        <v>518</v>
      </c>
      <c r="V520">
        <v>362</v>
      </c>
      <c r="W520">
        <v>172</v>
      </c>
    </row>
    <row r="521" spans="11:23" x14ac:dyDescent="0.3">
      <c r="K521">
        <v>520</v>
      </c>
      <c r="L521">
        <f t="shared" ca="1" si="10"/>
        <v>438.66617024513317</v>
      </c>
      <c r="M521">
        <f ca="1">IF(L521&lt;=0,0,10^(MultiLogRegr1stWeek!$B$17+LOG10(L521)*MultiLogRegr1stWeek!$B$18+MultiLogRegr1stWeek!$B$19*14+MultiLogRegr1stWeek!$B$20*0))</f>
        <v>198.38535614285456</v>
      </c>
      <c r="U521">
        <v>519</v>
      </c>
      <c r="V521">
        <v>327</v>
      </c>
      <c r="W521">
        <v>158</v>
      </c>
    </row>
    <row r="522" spans="11:23" x14ac:dyDescent="0.3">
      <c r="K522">
        <v>521</v>
      </c>
      <c r="L522">
        <f t="shared" ca="1" si="10"/>
        <v>530.19093765079299</v>
      </c>
      <c r="M522">
        <f ca="1">IF(L522&lt;=0,0,10^(MultiLogRegr1stWeek!$B$17+LOG10(L522)*MultiLogRegr1stWeek!$B$18+MultiLogRegr1stWeek!$B$19*14+MultiLogRegr1stWeek!$B$20*0))</f>
        <v>240.7385455765862</v>
      </c>
      <c r="U522">
        <v>520</v>
      </c>
      <c r="V522">
        <v>336</v>
      </c>
      <c r="W522">
        <v>161</v>
      </c>
    </row>
    <row r="523" spans="11:23" x14ac:dyDescent="0.3">
      <c r="K523">
        <v>522</v>
      </c>
      <c r="L523">
        <f t="shared" ca="1" si="10"/>
        <v>197.7236246142738</v>
      </c>
      <c r="M523">
        <f ca="1">IF(L523&lt;=0,0,10^(MultiLogRegr1stWeek!$B$17+LOG10(L523)*MultiLogRegr1stWeek!$B$18+MultiLogRegr1stWeek!$B$19*14+MultiLogRegr1stWeek!$B$20*0))</f>
        <v>87.92777115635819</v>
      </c>
      <c r="U523">
        <v>521</v>
      </c>
      <c r="V523">
        <v>363</v>
      </c>
      <c r="W523">
        <v>171</v>
      </c>
    </row>
    <row r="524" spans="11:23" x14ac:dyDescent="0.3">
      <c r="K524">
        <v>523</v>
      </c>
      <c r="L524">
        <f t="shared" ca="1" si="10"/>
        <v>339.55110425511907</v>
      </c>
      <c r="M524">
        <f ca="1">IF(L524&lt;=0,0,10^(MultiLogRegr1stWeek!$B$17+LOG10(L524)*MultiLogRegr1stWeek!$B$18+MultiLogRegr1stWeek!$B$19*14+MultiLogRegr1stWeek!$B$20*0))</f>
        <v>152.73262940140151</v>
      </c>
      <c r="U524">
        <v>522</v>
      </c>
      <c r="V524">
        <v>327</v>
      </c>
      <c r="W524">
        <v>158</v>
      </c>
    </row>
    <row r="525" spans="11:23" x14ac:dyDescent="0.3">
      <c r="K525">
        <v>524</v>
      </c>
      <c r="L525">
        <f t="shared" ca="1" si="10"/>
        <v>612.86856166118446</v>
      </c>
      <c r="M525">
        <f ca="1">IF(L525&lt;=0,0,10^(MultiLogRegr1stWeek!$B$17+LOG10(L525)*MultiLogRegr1stWeek!$B$18+MultiLogRegr1stWeek!$B$19*14+MultiLogRegr1stWeek!$B$20*0))</f>
        <v>279.13201791649863</v>
      </c>
      <c r="U525">
        <v>523</v>
      </c>
      <c r="V525">
        <v>333</v>
      </c>
      <c r="W525">
        <v>159</v>
      </c>
    </row>
    <row r="526" spans="11:23" x14ac:dyDescent="0.3">
      <c r="K526">
        <v>525</v>
      </c>
      <c r="L526">
        <f t="shared" ca="1" si="10"/>
        <v>262.57236706835369</v>
      </c>
      <c r="M526">
        <f ca="1">IF(L526&lt;=0,0,10^(MultiLogRegr1stWeek!$B$17+LOG10(L526)*MultiLogRegr1stWeek!$B$18+MultiLogRegr1stWeek!$B$19*14+MultiLogRegr1stWeek!$B$20*0))</f>
        <v>117.46754544351899</v>
      </c>
      <c r="U526">
        <v>524</v>
      </c>
      <c r="V526">
        <v>348</v>
      </c>
      <c r="W526">
        <v>166</v>
      </c>
    </row>
    <row r="527" spans="11:23" x14ac:dyDescent="0.3">
      <c r="K527">
        <v>526</v>
      </c>
      <c r="L527">
        <f t="shared" ca="1" si="10"/>
        <v>564.52180983190317</v>
      </c>
      <c r="M527">
        <f ca="1">IF(L527&lt;=0,0,10^(MultiLogRegr1stWeek!$B$17+LOG10(L527)*MultiLogRegr1stWeek!$B$18+MultiLogRegr1stWeek!$B$19*14+MultiLogRegr1stWeek!$B$20*0))</f>
        <v>256.6666567178334</v>
      </c>
      <c r="U527">
        <v>525</v>
      </c>
      <c r="V527">
        <v>345</v>
      </c>
      <c r="W527">
        <v>165</v>
      </c>
    </row>
    <row r="528" spans="11:23" x14ac:dyDescent="0.3">
      <c r="K528">
        <v>527</v>
      </c>
      <c r="L528">
        <f t="shared" ca="1" si="10"/>
        <v>152.05647349949825</v>
      </c>
      <c r="M528">
        <f ca="1">IF(L528&lt;=0,0,10^(MultiLogRegr1stWeek!$B$17+LOG10(L528)*MultiLogRegr1stWeek!$B$18+MultiLogRegr1stWeek!$B$19*14+MultiLogRegr1stWeek!$B$20*0))</f>
        <v>67.245616744035232</v>
      </c>
      <c r="U528">
        <v>526</v>
      </c>
      <c r="V528">
        <v>340</v>
      </c>
      <c r="W528">
        <v>163</v>
      </c>
    </row>
    <row r="529" spans="11:23" x14ac:dyDescent="0.3">
      <c r="K529">
        <v>528</v>
      </c>
      <c r="L529">
        <f t="shared" ca="1" si="10"/>
        <v>157.88062344231267</v>
      </c>
      <c r="M529">
        <f ca="1">IF(L529&lt;=0,0,10^(MultiLogRegr1stWeek!$B$17+LOG10(L529)*MultiLogRegr1stWeek!$B$18+MultiLogRegr1stWeek!$B$19*14+MultiLogRegr1stWeek!$B$20*0))</f>
        <v>69.876735370599107</v>
      </c>
      <c r="U529">
        <v>527</v>
      </c>
      <c r="V529">
        <v>339</v>
      </c>
      <c r="W529">
        <v>163</v>
      </c>
    </row>
    <row r="530" spans="11:23" x14ac:dyDescent="0.3">
      <c r="K530">
        <v>529</v>
      </c>
      <c r="L530">
        <f t="shared" ca="1" si="10"/>
        <v>49.353610521796668</v>
      </c>
      <c r="M530">
        <f ca="1">IF(L530&lt;=0,0,10^(MultiLogRegr1stWeek!$B$17+LOG10(L530)*MultiLogRegr1stWeek!$B$18+MultiLogRegr1stWeek!$B$19*14+MultiLogRegr1stWeek!$B$20*0))</f>
        <v>21.313686388414236</v>
      </c>
      <c r="U530">
        <v>528</v>
      </c>
      <c r="V530">
        <v>344</v>
      </c>
      <c r="W530">
        <v>165</v>
      </c>
    </row>
    <row r="531" spans="11:23" x14ac:dyDescent="0.3">
      <c r="K531">
        <v>530</v>
      </c>
      <c r="L531">
        <f t="shared" ca="1" si="10"/>
        <v>-267.13323016317747</v>
      </c>
      <c r="M531">
        <f ca="1">IF(L531&lt;=0,0,10^(MultiLogRegr1stWeek!$B$17+LOG10(L531)*MultiLogRegr1stWeek!$B$18+MultiLogRegr1stWeek!$B$19*14+MultiLogRegr1stWeek!$B$20*0))</f>
        <v>0</v>
      </c>
      <c r="U531">
        <v>529</v>
      </c>
      <c r="V531">
        <v>334</v>
      </c>
      <c r="W531">
        <v>160</v>
      </c>
    </row>
    <row r="532" spans="11:23" x14ac:dyDescent="0.3">
      <c r="K532">
        <v>531</v>
      </c>
      <c r="L532">
        <f t="shared" ca="1" si="10"/>
        <v>216.96947857997884</v>
      </c>
      <c r="M532">
        <f ca="1">IF(L532&lt;=0,0,10^(MultiLogRegr1stWeek!$B$17+LOG10(L532)*MultiLogRegr1stWeek!$B$18+MultiLogRegr1stWeek!$B$19*14+MultiLogRegr1stWeek!$B$20*0))</f>
        <v>96.675849109680527</v>
      </c>
      <c r="U532">
        <v>530</v>
      </c>
      <c r="V532">
        <v>329</v>
      </c>
      <c r="W532">
        <v>157</v>
      </c>
    </row>
    <row r="533" spans="11:23" x14ac:dyDescent="0.3">
      <c r="K533">
        <v>532</v>
      </c>
      <c r="L533">
        <f t="shared" ca="1" si="10"/>
        <v>-128.11002091725823</v>
      </c>
      <c r="M533">
        <f ca="1">IF(L533&lt;=0,0,10^(MultiLogRegr1stWeek!$B$17+LOG10(L533)*MultiLogRegr1stWeek!$B$18+MultiLogRegr1stWeek!$B$19*14+MultiLogRegr1stWeek!$B$20*0))</f>
        <v>0</v>
      </c>
      <c r="U533">
        <v>531</v>
      </c>
      <c r="V533">
        <v>352</v>
      </c>
      <c r="W533">
        <v>167</v>
      </c>
    </row>
    <row r="534" spans="11:23" x14ac:dyDescent="0.3">
      <c r="K534">
        <v>533</v>
      </c>
      <c r="L534">
        <f t="shared" ca="1" si="10"/>
        <v>112.8433710962515</v>
      </c>
      <c r="M534">
        <f ca="1">IF(L534&lt;=0,0,10^(MultiLogRegr1stWeek!$B$17+LOG10(L534)*MultiLogRegr1stWeek!$B$18+MultiLogRegr1stWeek!$B$19*14+MultiLogRegr1stWeek!$B$20*0))</f>
        <v>49.590661260687135</v>
      </c>
      <c r="U534">
        <v>532</v>
      </c>
      <c r="V534">
        <v>333</v>
      </c>
      <c r="W534">
        <v>159</v>
      </c>
    </row>
    <row r="535" spans="11:23" x14ac:dyDescent="0.3">
      <c r="K535">
        <v>534</v>
      </c>
      <c r="L535">
        <f t="shared" ca="1" si="10"/>
        <v>447.41883009183994</v>
      </c>
      <c r="M535">
        <f ca="1">IF(L535&lt;=0,0,10^(MultiLogRegr1stWeek!$B$17+LOG10(L535)*MultiLogRegr1stWeek!$B$18+MultiLogRegr1stWeek!$B$19*14+MultiLogRegr1stWeek!$B$20*0))</f>
        <v>202.42815172704331</v>
      </c>
      <c r="U535">
        <v>533</v>
      </c>
      <c r="V535">
        <v>347</v>
      </c>
      <c r="W535">
        <v>163</v>
      </c>
    </row>
    <row r="536" spans="11:23" x14ac:dyDescent="0.3">
      <c r="K536">
        <v>535</v>
      </c>
      <c r="L536">
        <f t="shared" ca="1" si="10"/>
        <v>553.57712917206777</v>
      </c>
      <c r="M536">
        <f ca="1">IF(L536&lt;=0,0,10^(MultiLogRegr1stWeek!$B$17+LOG10(L536)*MultiLogRegr1stWeek!$B$18+MultiLogRegr1stWeek!$B$19*14+MultiLogRegr1stWeek!$B$20*0))</f>
        <v>251.58649291364486</v>
      </c>
      <c r="U536">
        <v>534</v>
      </c>
      <c r="V536">
        <v>339</v>
      </c>
      <c r="W536">
        <v>164</v>
      </c>
    </row>
    <row r="537" spans="11:23" x14ac:dyDescent="0.3">
      <c r="K537">
        <v>536</v>
      </c>
      <c r="L537">
        <f t="shared" ca="1" si="10"/>
        <v>543.94107924083983</v>
      </c>
      <c r="M537">
        <f ca="1">IF(L537&lt;=0,0,10^(MultiLogRegr1stWeek!$B$17+LOG10(L537)*MultiLogRegr1stWeek!$B$18+MultiLogRegr1stWeek!$B$19*14+MultiLogRegr1stWeek!$B$20*0))</f>
        <v>247.11550690038132</v>
      </c>
      <c r="U537">
        <v>535</v>
      </c>
      <c r="V537">
        <v>341</v>
      </c>
      <c r="W537">
        <v>164</v>
      </c>
    </row>
    <row r="538" spans="11:23" x14ac:dyDescent="0.3">
      <c r="K538">
        <v>537</v>
      </c>
      <c r="L538">
        <f t="shared" ca="1" si="10"/>
        <v>40.110817186978068</v>
      </c>
      <c r="M538">
        <f ca="1">IF(L538&lt;=0,0,10^(MultiLogRegr1stWeek!$B$17+LOG10(L538)*MultiLogRegr1stWeek!$B$18+MultiLogRegr1stWeek!$B$19*14+MultiLogRegr1stWeek!$B$20*0))</f>
        <v>17.246439058799044</v>
      </c>
      <c r="U538">
        <v>536</v>
      </c>
      <c r="V538">
        <v>337</v>
      </c>
      <c r="W538">
        <v>163</v>
      </c>
    </row>
    <row r="539" spans="11:23" x14ac:dyDescent="0.3">
      <c r="K539">
        <v>538</v>
      </c>
      <c r="L539">
        <f t="shared" ca="1" si="10"/>
        <v>0.97072357325487246</v>
      </c>
      <c r="M539">
        <f ca="1">IF(L539&lt;=0,0,10^(MultiLogRegr1stWeek!$B$17+LOG10(L539)*MultiLogRegr1stWeek!$B$18+MultiLogRegr1stWeek!$B$19*14+MultiLogRegr1stWeek!$B$20*0))</f>
        <v>0.38583839871585812</v>
      </c>
      <c r="U539">
        <v>537</v>
      </c>
      <c r="V539">
        <v>328</v>
      </c>
      <c r="W539">
        <v>158</v>
      </c>
    </row>
    <row r="540" spans="11:23" x14ac:dyDescent="0.3">
      <c r="K540">
        <v>539</v>
      </c>
      <c r="L540">
        <f t="shared" ca="1" si="10"/>
        <v>-2.4379461526099249</v>
      </c>
      <c r="M540">
        <f ca="1">IF(L540&lt;=0,0,10^(MultiLogRegr1stWeek!$B$17+LOG10(L540)*MultiLogRegr1stWeek!$B$18+MultiLogRegr1stWeek!$B$19*14+MultiLogRegr1stWeek!$B$20*0))</f>
        <v>0</v>
      </c>
      <c r="U540">
        <v>538</v>
      </c>
      <c r="V540">
        <v>337</v>
      </c>
      <c r="W540">
        <v>162</v>
      </c>
    </row>
    <row r="541" spans="11:23" x14ac:dyDescent="0.3">
      <c r="K541">
        <v>540</v>
      </c>
      <c r="L541">
        <f t="shared" ca="1" si="10"/>
        <v>342.46775044361317</v>
      </c>
      <c r="M541">
        <f ca="1">IF(L541&lt;=0,0,10^(MultiLogRegr1stWeek!$B$17+LOG10(L541)*MultiLogRegr1stWeek!$B$18+MultiLogRegr1stWeek!$B$19*14+MultiLogRegr1stWeek!$B$20*0))</f>
        <v>154.07238344477796</v>
      </c>
      <c r="U541">
        <v>539</v>
      </c>
      <c r="V541">
        <v>337</v>
      </c>
      <c r="W541">
        <v>162</v>
      </c>
    </row>
    <row r="542" spans="11:23" x14ac:dyDescent="0.3">
      <c r="K542">
        <v>541</v>
      </c>
      <c r="L542">
        <f t="shared" ca="1" si="10"/>
        <v>-97.421339046394564</v>
      </c>
      <c r="M542">
        <f ca="1">IF(L542&lt;=0,0,10^(MultiLogRegr1stWeek!$B$17+LOG10(L542)*MultiLogRegr1stWeek!$B$18+MultiLogRegr1stWeek!$B$19*14+MultiLogRegr1stWeek!$B$20*0))</f>
        <v>0</v>
      </c>
      <c r="U542">
        <v>540</v>
      </c>
      <c r="V542">
        <v>343</v>
      </c>
      <c r="W542">
        <v>165</v>
      </c>
    </row>
    <row r="543" spans="11:23" x14ac:dyDescent="0.3">
      <c r="K543">
        <v>542</v>
      </c>
      <c r="L543">
        <f t="shared" ca="1" si="10"/>
        <v>201.41920984448478</v>
      </c>
      <c r="M543">
        <f ca="1">IF(L543&lt;=0,0,10^(MultiLogRegr1stWeek!$B$17+LOG10(L543)*MultiLogRegr1stWeek!$B$18+MultiLogRegr1stWeek!$B$19*14+MultiLogRegr1stWeek!$B$20*0))</f>
        <v>89.606232226228329</v>
      </c>
      <c r="U543">
        <v>541</v>
      </c>
      <c r="V543">
        <v>341</v>
      </c>
      <c r="W543">
        <v>163</v>
      </c>
    </row>
    <row r="544" spans="11:23" x14ac:dyDescent="0.3">
      <c r="K544">
        <v>543</v>
      </c>
      <c r="L544">
        <f t="shared" ca="1" si="10"/>
        <v>498.73418596342032</v>
      </c>
      <c r="M544">
        <f ca="1">IF(L544&lt;=0,0,10^(MultiLogRegr1stWeek!$B$17+LOG10(L544)*MultiLogRegr1stWeek!$B$18+MultiLogRegr1stWeek!$B$19*14+MultiLogRegr1stWeek!$B$20*0))</f>
        <v>226.16299386272067</v>
      </c>
      <c r="U544">
        <v>542</v>
      </c>
      <c r="V544">
        <v>340</v>
      </c>
      <c r="W544">
        <v>164</v>
      </c>
    </row>
    <row r="545" spans="11:23" x14ac:dyDescent="0.3">
      <c r="K545">
        <v>544</v>
      </c>
      <c r="L545">
        <f t="shared" ca="1" si="10"/>
        <v>667.34090579146232</v>
      </c>
      <c r="M545">
        <f ca="1">IF(L545&lt;=0,0,10^(MultiLogRegr1stWeek!$B$17+LOG10(L545)*MultiLogRegr1stWeek!$B$18+MultiLogRegr1stWeek!$B$19*14+MultiLogRegr1stWeek!$B$20*0))</f>
        <v>304.48854652909745</v>
      </c>
      <c r="U545">
        <v>543</v>
      </c>
      <c r="V545">
        <v>327</v>
      </c>
      <c r="W545">
        <v>157</v>
      </c>
    </row>
    <row r="546" spans="11:23" x14ac:dyDescent="0.3">
      <c r="K546">
        <v>545</v>
      </c>
      <c r="L546">
        <f t="shared" ca="1" si="10"/>
        <v>107.56734748225017</v>
      </c>
      <c r="M546">
        <f ca="1">IF(L546&lt;=0,0,10^(MultiLogRegr1stWeek!$B$17+LOG10(L546)*MultiLogRegr1stWeek!$B$18+MultiLogRegr1stWeek!$B$19*14+MultiLogRegr1stWeek!$B$20*0))</f>
        <v>47.224261285080622</v>
      </c>
      <c r="U546">
        <v>544</v>
      </c>
      <c r="V546">
        <v>343</v>
      </c>
      <c r="W546">
        <v>165</v>
      </c>
    </row>
    <row r="547" spans="11:23" x14ac:dyDescent="0.3">
      <c r="K547">
        <v>546</v>
      </c>
      <c r="L547">
        <f t="shared" ca="1" si="10"/>
        <v>-86.078850646192222</v>
      </c>
      <c r="M547">
        <f ca="1">IF(L547&lt;=0,0,10^(MultiLogRegr1stWeek!$B$17+LOG10(L547)*MultiLogRegr1stWeek!$B$18+MultiLogRegr1stWeek!$B$19*14+MultiLogRegr1stWeek!$B$20*0))</f>
        <v>0</v>
      </c>
      <c r="U547">
        <v>545</v>
      </c>
      <c r="V547">
        <v>348</v>
      </c>
      <c r="W547">
        <v>165</v>
      </c>
    </row>
    <row r="548" spans="11:23" x14ac:dyDescent="0.3">
      <c r="K548">
        <v>547</v>
      </c>
      <c r="L548">
        <f t="shared" ca="1" si="10"/>
        <v>248.09981810093575</v>
      </c>
      <c r="M548">
        <f ca="1">IF(L548&lt;=0,0,10^(MultiLogRegr1stWeek!$B$17+LOG10(L548)*MultiLogRegr1stWeek!$B$18+MultiLogRegr1stWeek!$B$19*14+MultiLogRegr1stWeek!$B$20*0))</f>
        <v>110.86012745416279</v>
      </c>
      <c r="U548">
        <v>546</v>
      </c>
      <c r="V548">
        <v>327</v>
      </c>
      <c r="W548">
        <v>157</v>
      </c>
    </row>
    <row r="549" spans="11:23" x14ac:dyDescent="0.3">
      <c r="K549">
        <v>548</v>
      </c>
      <c r="L549">
        <f t="shared" ca="1" si="10"/>
        <v>-23.436771724465359</v>
      </c>
      <c r="M549">
        <f ca="1">IF(L549&lt;=0,0,10^(MultiLogRegr1stWeek!$B$17+LOG10(L549)*MultiLogRegr1stWeek!$B$18+MultiLogRegr1stWeek!$B$19*14+MultiLogRegr1stWeek!$B$20*0))</f>
        <v>0</v>
      </c>
      <c r="U549">
        <v>547</v>
      </c>
      <c r="V549">
        <v>328</v>
      </c>
      <c r="W549">
        <v>160</v>
      </c>
    </row>
    <row r="550" spans="11:23" x14ac:dyDescent="0.3">
      <c r="K550">
        <v>549</v>
      </c>
      <c r="L550">
        <f t="shared" ca="1" si="10"/>
        <v>122.36446301697922</v>
      </c>
      <c r="M550">
        <f ca="1">IF(L550&lt;=0,0,10^(MultiLogRegr1stWeek!$B$17+LOG10(L550)*MultiLogRegr1stWeek!$B$18+MultiLogRegr1stWeek!$B$19*14+MultiLogRegr1stWeek!$B$20*0))</f>
        <v>53.866905255124038</v>
      </c>
      <c r="U550">
        <v>548</v>
      </c>
      <c r="V550">
        <v>324</v>
      </c>
      <c r="W550">
        <v>155</v>
      </c>
    </row>
    <row r="551" spans="11:23" x14ac:dyDescent="0.3">
      <c r="K551">
        <v>550</v>
      </c>
      <c r="L551">
        <f t="shared" ca="1" si="10"/>
        <v>422.47421889331645</v>
      </c>
      <c r="M551">
        <f ca="1">IF(L551&lt;=0,0,10^(MultiLogRegr1stWeek!$B$17+LOG10(L551)*MultiLogRegr1stWeek!$B$18+MultiLogRegr1stWeek!$B$19*14+MultiLogRegr1stWeek!$B$20*0))</f>
        <v>190.91091610594043</v>
      </c>
      <c r="U551">
        <v>549</v>
      </c>
      <c r="V551">
        <v>346</v>
      </c>
      <c r="W551">
        <v>164</v>
      </c>
    </row>
    <row r="552" spans="11:23" x14ac:dyDescent="0.3">
      <c r="K552">
        <v>551</v>
      </c>
      <c r="L552">
        <f t="shared" ca="1" si="10"/>
        <v>420.76881309902194</v>
      </c>
      <c r="M552">
        <f ca="1">IF(L552&lt;=0,0,10^(MultiLogRegr1stWeek!$B$17+LOG10(L552)*MultiLogRegr1stWeek!$B$18+MultiLogRegr1stWeek!$B$19*14+MultiLogRegr1stWeek!$B$20*0))</f>
        <v>190.12402412499193</v>
      </c>
      <c r="U552">
        <v>550</v>
      </c>
      <c r="V552">
        <v>345</v>
      </c>
      <c r="W552">
        <v>164</v>
      </c>
    </row>
    <row r="553" spans="11:23" x14ac:dyDescent="0.3">
      <c r="K553">
        <v>552</v>
      </c>
      <c r="L553">
        <f t="shared" ca="1" si="10"/>
        <v>818.79876415073636</v>
      </c>
      <c r="M553">
        <f ca="1">IF(L553&lt;=0,0,10^(MultiLogRegr1stWeek!$B$17+LOG10(L553)*MultiLogRegr1stWeek!$B$18+MultiLogRegr1stWeek!$B$19*14+MultiLogRegr1stWeek!$B$20*0))</f>
        <v>375.21153021373004</v>
      </c>
      <c r="U553">
        <v>551</v>
      </c>
      <c r="V553">
        <v>351</v>
      </c>
      <c r="W553">
        <v>166</v>
      </c>
    </row>
    <row r="554" spans="11:23" x14ac:dyDescent="0.3">
      <c r="K554">
        <v>553</v>
      </c>
      <c r="L554">
        <f t="shared" ca="1" si="10"/>
        <v>358.15016654178419</v>
      </c>
      <c r="M554">
        <f ca="1">IF(L554&lt;=0,0,10^(MultiLogRegr1stWeek!$B$17+LOG10(L554)*MultiLogRegr1stWeek!$B$18+MultiLogRegr1stWeek!$B$19*14+MultiLogRegr1stWeek!$B$20*0))</f>
        <v>161.28014354043407</v>
      </c>
      <c r="U554">
        <v>552</v>
      </c>
      <c r="V554">
        <v>320</v>
      </c>
      <c r="W554">
        <v>154</v>
      </c>
    </row>
    <row r="555" spans="11:23" x14ac:dyDescent="0.3">
      <c r="K555">
        <v>554</v>
      </c>
      <c r="L555">
        <f t="shared" ca="1" si="10"/>
        <v>511.13783381403061</v>
      </c>
      <c r="M555">
        <f ca="1">IF(L555&lt;=0,0,10^(MultiLogRegr1stWeek!$B$17+LOG10(L555)*MultiLogRegr1stWeek!$B$18+MultiLogRegr1stWeek!$B$19*14+MultiLogRegr1stWeek!$B$20*0))</f>
        <v>231.90799760885375</v>
      </c>
      <c r="U555">
        <v>553</v>
      </c>
      <c r="V555">
        <v>348</v>
      </c>
      <c r="W555">
        <v>166</v>
      </c>
    </row>
    <row r="556" spans="11:23" x14ac:dyDescent="0.3">
      <c r="K556">
        <v>555</v>
      </c>
      <c r="L556">
        <f t="shared" ca="1" si="10"/>
        <v>223.89240659678666</v>
      </c>
      <c r="M556">
        <f ca="1">IF(L556&lt;=0,0,10^(MultiLogRegr1stWeek!$B$17+LOG10(L556)*MultiLogRegr1stWeek!$B$18+MultiLogRegr1stWeek!$B$19*14+MultiLogRegr1stWeek!$B$20*0))</f>
        <v>99.826710664972495</v>
      </c>
      <c r="U556">
        <v>554</v>
      </c>
      <c r="V556">
        <v>349</v>
      </c>
      <c r="W556">
        <v>166</v>
      </c>
    </row>
    <row r="557" spans="11:23" x14ac:dyDescent="0.3">
      <c r="K557">
        <v>556</v>
      </c>
      <c r="L557">
        <f t="shared" ca="1" si="10"/>
        <v>552.49741844396704</v>
      </c>
      <c r="M557">
        <f ca="1">IF(L557&lt;=0,0,10^(MultiLogRegr1stWeek!$B$17+LOG10(L557)*MultiLogRegr1stWeek!$B$18+MultiLogRegr1stWeek!$B$19*14+MultiLogRegr1stWeek!$B$20*0))</f>
        <v>251.08544066040349</v>
      </c>
      <c r="U557">
        <v>555</v>
      </c>
      <c r="V557">
        <v>338</v>
      </c>
      <c r="W557">
        <v>161</v>
      </c>
    </row>
    <row r="558" spans="11:23" x14ac:dyDescent="0.3">
      <c r="K558">
        <v>557</v>
      </c>
      <c r="L558">
        <f t="shared" ca="1" si="10"/>
        <v>1004.4252844423841</v>
      </c>
      <c r="M558">
        <f ca="1">IF(L558&lt;=0,0,10^(MultiLogRegr1stWeek!$B$17+LOG10(L558)*MultiLogRegr1stWeek!$B$18+MultiLogRegr1stWeek!$B$19*14+MultiLogRegr1stWeek!$B$20*0))</f>
        <v>462.2644947231388</v>
      </c>
      <c r="U558">
        <v>556</v>
      </c>
      <c r="V558">
        <v>340</v>
      </c>
      <c r="W558">
        <v>163</v>
      </c>
    </row>
    <row r="559" spans="11:23" x14ac:dyDescent="0.3">
      <c r="K559">
        <v>558</v>
      </c>
      <c r="L559">
        <f t="shared" ca="1" si="10"/>
        <v>87.125846392821529</v>
      </c>
      <c r="M559">
        <f ca="1">IF(L559&lt;=0,0,10^(MultiLogRegr1stWeek!$B$17+LOG10(L559)*MultiLogRegr1stWeek!$B$18+MultiLogRegr1stWeek!$B$19*14+MultiLogRegr1stWeek!$B$20*0))</f>
        <v>38.080166736451353</v>
      </c>
      <c r="U559">
        <v>557</v>
      </c>
      <c r="V559">
        <v>330</v>
      </c>
      <c r="W559">
        <v>157</v>
      </c>
    </row>
    <row r="560" spans="11:23" x14ac:dyDescent="0.3">
      <c r="K560">
        <v>559</v>
      </c>
      <c r="L560">
        <f t="shared" ca="1" si="10"/>
        <v>382.25725379533503</v>
      </c>
      <c r="M560">
        <f ca="1">IF(L560&lt;=0,0,10^(MultiLogRegr1stWeek!$B$17+LOG10(L560)*MultiLogRegr1stWeek!$B$18+MultiLogRegr1stWeek!$B$19*14+MultiLogRegr1stWeek!$B$20*0))</f>
        <v>172.3728579615069</v>
      </c>
      <c r="U560">
        <v>558</v>
      </c>
      <c r="V560">
        <v>358</v>
      </c>
      <c r="W560">
        <v>171</v>
      </c>
    </row>
    <row r="561" spans="11:23" x14ac:dyDescent="0.3">
      <c r="K561">
        <v>560</v>
      </c>
      <c r="L561">
        <f t="shared" ca="1" si="10"/>
        <v>-4.6455576083534993</v>
      </c>
      <c r="M561">
        <f ca="1">IF(L561&lt;=0,0,10^(MultiLogRegr1stWeek!$B$17+LOG10(L561)*MultiLogRegr1stWeek!$B$18+MultiLogRegr1stWeek!$B$19*14+MultiLogRegr1stWeek!$B$20*0))</f>
        <v>0</v>
      </c>
      <c r="U561">
        <v>559</v>
      </c>
      <c r="V561">
        <v>335</v>
      </c>
      <c r="W561">
        <v>160</v>
      </c>
    </row>
    <row r="562" spans="11:23" x14ac:dyDescent="0.3">
      <c r="K562">
        <v>561</v>
      </c>
      <c r="L562">
        <f t="shared" ca="1" si="10"/>
        <v>-254.3532547886341</v>
      </c>
      <c r="M562">
        <f ca="1">IF(L562&lt;=0,0,10^(MultiLogRegr1stWeek!$B$17+LOG10(L562)*MultiLogRegr1stWeek!$B$18+MultiLogRegr1stWeek!$B$19*14+MultiLogRegr1stWeek!$B$20*0))</f>
        <v>0</v>
      </c>
      <c r="U562">
        <v>560</v>
      </c>
      <c r="V562">
        <v>350</v>
      </c>
      <c r="W562">
        <v>166</v>
      </c>
    </row>
    <row r="563" spans="11:23" x14ac:dyDescent="0.3">
      <c r="K563">
        <v>562</v>
      </c>
      <c r="L563">
        <f t="shared" ca="1" si="10"/>
        <v>226.0501920288815</v>
      </c>
      <c r="M563">
        <f ca="1">IF(L563&lt;=0,0,10^(MultiLogRegr1stWeek!$B$17+LOG10(L563)*MultiLogRegr1stWeek!$B$18+MultiLogRegr1stWeek!$B$19*14+MultiLogRegr1stWeek!$B$20*0))</f>
        <v>100.80921635790713</v>
      </c>
      <c r="U563">
        <v>561</v>
      </c>
      <c r="V563">
        <v>340</v>
      </c>
      <c r="W563">
        <v>161</v>
      </c>
    </row>
    <row r="564" spans="11:23" x14ac:dyDescent="0.3">
      <c r="K564">
        <v>563</v>
      </c>
      <c r="L564">
        <f t="shared" ca="1" si="10"/>
        <v>494.20335921820526</v>
      </c>
      <c r="M564">
        <f ca="1">IF(L564&lt;=0,0,10^(MultiLogRegr1stWeek!$B$17+LOG10(L564)*MultiLogRegr1stWeek!$B$18+MultiLogRegr1stWeek!$B$19*14+MultiLogRegr1stWeek!$B$20*0))</f>
        <v>224.06519691594519</v>
      </c>
      <c r="U564">
        <v>562</v>
      </c>
      <c r="V564">
        <v>325</v>
      </c>
      <c r="W564">
        <v>158</v>
      </c>
    </row>
    <row r="565" spans="11:23" x14ac:dyDescent="0.3">
      <c r="K565">
        <v>564</v>
      </c>
      <c r="L565">
        <f t="shared" ca="1" si="10"/>
        <v>403.53034396083012</v>
      </c>
      <c r="M565">
        <f ca="1">IF(L565&lt;=0,0,10^(MultiLogRegr1stWeek!$B$17+LOG10(L565)*MultiLogRegr1stWeek!$B$18+MultiLogRegr1stWeek!$B$19*14+MultiLogRegr1stWeek!$B$20*0))</f>
        <v>182.17384241045264</v>
      </c>
      <c r="U565">
        <v>563</v>
      </c>
      <c r="V565">
        <v>336</v>
      </c>
      <c r="W565">
        <v>161</v>
      </c>
    </row>
    <row r="566" spans="11:23" x14ac:dyDescent="0.3">
      <c r="K566">
        <v>565</v>
      </c>
      <c r="L566">
        <f t="shared" ca="1" si="10"/>
        <v>298.91823935457694</v>
      </c>
      <c r="M566">
        <f ca="1">IF(L566&lt;=0,0,10^(MultiLogRegr1stWeek!$B$17+LOG10(L566)*MultiLogRegr1stWeek!$B$18+MultiLogRegr1stWeek!$B$19*14+MultiLogRegr1stWeek!$B$20*0))</f>
        <v>134.09427329468309</v>
      </c>
      <c r="U566">
        <v>564</v>
      </c>
      <c r="V566">
        <v>338</v>
      </c>
      <c r="W566">
        <v>162</v>
      </c>
    </row>
    <row r="567" spans="11:23" x14ac:dyDescent="0.3">
      <c r="K567">
        <v>566</v>
      </c>
      <c r="L567">
        <f t="shared" ca="1" si="10"/>
        <v>100.21143275445519</v>
      </c>
      <c r="M567">
        <f ca="1">IF(L567&lt;=0,0,10^(MultiLogRegr1stWeek!$B$17+LOG10(L567)*MultiLogRegr1stWeek!$B$18+MultiLogRegr1stWeek!$B$19*14+MultiLogRegr1stWeek!$B$20*0))</f>
        <v>43.929106372357765</v>
      </c>
      <c r="U567">
        <v>565</v>
      </c>
      <c r="V567">
        <v>324</v>
      </c>
      <c r="W567">
        <v>156</v>
      </c>
    </row>
    <row r="568" spans="11:23" x14ac:dyDescent="0.3">
      <c r="K568">
        <v>567</v>
      </c>
      <c r="L568">
        <f t="shared" ca="1" si="10"/>
        <v>285.69510979787037</v>
      </c>
      <c r="M568">
        <f ca="1">IF(L568&lt;=0,0,10^(MultiLogRegr1stWeek!$B$17+LOG10(L568)*MultiLogRegr1stWeek!$B$18+MultiLogRegr1stWeek!$B$19*14+MultiLogRegr1stWeek!$B$20*0))</f>
        <v>128.04000653887832</v>
      </c>
      <c r="U568">
        <v>566</v>
      </c>
      <c r="V568">
        <v>337</v>
      </c>
      <c r="W568">
        <v>161</v>
      </c>
    </row>
    <row r="569" spans="11:23" x14ac:dyDescent="0.3">
      <c r="K569">
        <v>568</v>
      </c>
      <c r="L569">
        <f t="shared" ca="1" si="10"/>
        <v>82.928136966442167</v>
      </c>
      <c r="M569">
        <f ca="1">IF(L569&lt;=0,0,10^(MultiLogRegr1stWeek!$B$17+LOG10(L569)*MultiLogRegr1stWeek!$B$18+MultiLogRegr1stWeek!$B$19*14+MultiLogRegr1stWeek!$B$20*0))</f>
        <v>36.207696029331458</v>
      </c>
      <c r="U569">
        <v>567</v>
      </c>
      <c r="V569">
        <v>339</v>
      </c>
      <c r="W569">
        <v>162</v>
      </c>
    </row>
    <row r="570" spans="11:23" x14ac:dyDescent="0.3">
      <c r="K570">
        <v>569</v>
      </c>
      <c r="L570">
        <f t="shared" ca="1" si="10"/>
        <v>576.91031604058333</v>
      </c>
      <c r="M570">
        <f ca="1">IF(L570&lt;=0,0,10^(MultiLogRegr1stWeek!$B$17+LOG10(L570)*MultiLogRegr1stWeek!$B$18+MultiLogRegr1stWeek!$B$19*14+MultiLogRegr1stWeek!$B$20*0))</f>
        <v>262.41950532172353</v>
      </c>
      <c r="U570">
        <v>568</v>
      </c>
      <c r="V570">
        <v>352</v>
      </c>
      <c r="W570">
        <v>168</v>
      </c>
    </row>
    <row r="571" spans="11:23" x14ac:dyDescent="0.3">
      <c r="K571">
        <v>570</v>
      </c>
      <c r="L571">
        <f t="shared" ca="1" si="10"/>
        <v>61.197519121156063</v>
      </c>
      <c r="M571">
        <f ca="1">IF(L571&lt;=0,0,10^(MultiLogRegr1stWeek!$B$17+LOG10(L571)*MultiLogRegr1stWeek!$B$18+MultiLogRegr1stWeek!$B$19*14+MultiLogRegr1stWeek!$B$20*0))</f>
        <v>26.548871817257851</v>
      </c>
      <c r="U571">
        <v>569</v>
      </c>
      <c r="V571">
        <v>347</v>
      </c>
      <c r="W571">
        <v>166</v>
      </c>
    </row>
    <row r="572" spans="11:23" x14ac:dyDescent="0.3">
      <c r="K572">
        <v>571</v>
      </c>
      <c r="L572">
        <f t="shared" ca="1" si="10"/>
        <v>657.40356788182828</v>
      </c>
      <c r="M572">
        <f ca="1">IF(L572&lt;=0,0,10^(MultiLogRegr1stWeek!$B$17+LOG10(L572)*MultiLogRegr1stWeek!$B$18+MultiLogRegr1stWeek!$B$19*14+MultiLogRegr1stWeek!$B$20*0))</f>
        <v>299.8594096608104</v>
      </c>
      <c r="U572">
        <v>570</v>
      </c>
      <c r="V572">
        <v>332</v>
      </c>
      <c r="W572">
        <v>160</v>
      </c>
    </row>
    <row r="573" spans="11:23" x14ac:dyDescent="0.3">
      <c r="K573">
        <v>572</v>
      </c>
      <c r="L573">
        <f t="shared" ca="1" si="10"/>
        <v>187.71179409625523</v>
      </c>
      <c r="M573">
        <f ca="1">IF(L573&lt;=0,0,10^(MultiLogRegr1stWeek!$B$17+LOG10(L573)*MultiLogRegr1stWeek!$B$18+MultiLogRegr1stWeek!$B$19*14+MultiLogRegr1stWeek!$B$20*0))</f>
        <v>83.383961022033631</v>
      </c>
      <c r="U573">
        <v>571</v>
      </c>
      <c r="V573">
        <v>348</v>
      </c>
      <c r="W573">
        <v>168</v>
      </c>
    </row>
    <row r="574" spans="11:23" x14ac:dyDescent="0.3">
      <c r="K574">
        <v>573</v>
      </c>
      <c r="L574">
        <f t="shared" ca="1" si="10"/>
        <v>572.48599958847342</v>
      </c>
      <c r="M574">
        <f ca="1">IF(L574&lt;=0,0,10^(MultiLogRegr1stWeek!$B$17+LOG10(L574)*MultiLogRegr1stWeek!$B$18+MultiLogRegr1stWeek!$B$19*14+MultiLogRegr1stWeek!$B$20*0))</f>
        <v>260.36468380337249</v>
      </c>
      <c r="U574">
        <v>572</v>
      </c>
      <c r="V574">
        <v>321</v>
      </c>
      <c r="W574">
        <v>157</v>
      </c>
    </row>
    <row r="575" spans="11:23" x14ac:dyDescent="0.3">
      <c r="K575">
        <v>574</v>
      </c>
      <c r="L575">
        <f t="shared" ca="1" si="10"/>
        <v>805.87179102685946</v>
      </c>
      <c r="M575">
        <f ca="1">IF(L575&lt;=0,0,10^(MultiLogRegr1stWeek!$B$17+LOG10(L575)*MultiLogRegr1stWeek!$B$18+MultiLogRegr1stWeek!$B$19*14+MultiLogRegr1stWeek!$B$20*0))</f>
        <v>369.16371604878123</v>
      </c>
      <c r="U575">
        <v>573</v>
      </c>
      <c r="V575">
        <v>342</v>
      </c>
      <c r="W575">
        <v>164</v>
      </c>
    </row>
    <row r="576" spans="11:23" x14ac:dyDescent="0.3">
      <c r="K576">
        <v>575</v>
      </c>
      <c r="L576">
        <f t="shared" ca="1" si="10"/>
        <v>462.01926869505888</v>
      </c>
      <c r="M576">
        <f ca="1">IF(L576&lt;=0,0,10^(MultiLogRegr1stWeek!$B$17+LOG10(L576)*MultiLogRegr1stWeek!$B$18+MultiLogRegr1stWeek!$B$19*14+MultiLogRegr1stWeek!$B$20*0))</f>
        <v>209.17569946235108</v>
      </c>
      <c r="U576">
        <v>574</v>
      </c>
      <c r="V576">
        <v>338</v>
      </c>
      <c r="W576">
        <v>160</v>
      </c>
    </row>
    <row r="577" spans="11:23" x14ac:dyDescent="0.3">
      <c r="K577">
        <v>576</v>
      </c>
      <c r="L577">
        <f t="shared" ca="1" si="10"/>
        <v>429.4206441827053</v>
      </c>
      <c r="M577">
        <f ca="1">IF(L577&lt;=0,0,10^(MultiLogRegr1stWeek!$B$17+LOG10(L577)*MultiLogRegr1stWeek!$B$18+MultiLogRegr1stWeek!$B$19*14+MultiLogRegr1stWeek!$B$20*0))</f>
        <v>194.11675930192251</v>
      </c>
      <c r="U577">
        <v>575</v>
      </c>
      <c r="V577">
        <v>339</v>
      </c>
      <c r="W577">
        <v>164</v>
      </c>
    </row>
    <row r="578" spans="11:23" x14ac:dyDescent="0.3">
      <c r="K578">
        <v>577</v>
      </c>
      <c r="L578">
        <f t="shared" ca="1" si="10"/>
        <v>134.91870080412733</v>
      </c>
      <c r="M578">
        <f ca="1">IF(L578&lt;=0,0,10^(MultiLogRegr1stWeek!$B$17+LOG10(L578)*MultiLogRegr1stWeek!$B$18+MultiLogRegr1stWeek!$B$19*14+MultiLogRegr1stWeek!$B$20*0))</f>
        <v>59.516114412708887</v>
      </c>
      <c r="U578">
        <v>576</v>
      </c>
      <c r="V578">
        <v>330</v>
      </c>
      <c r="W578">
        <v>158</v>
      </c>
    </row>
    <row r="579" spans="11:23" x14ac:dyDescent="0.3">
      <c r="K579">
        <v>578</v>
      </c>
      <c r="L579">
        <f t="shared" ref="L579:L642" ca="1" si="11">_xlfn.NORM.INV(RAND(),$S$3,$S$2)</f>
        <v>345.33999836438846</v>
      </c>
      <c r="M579">
        <f ca="1">IF(L579&lt;=0,0,10^(MultiLogRegr1stWeek!$B$17+LOG10(L579)*MultiLogRegr1stWeek!$B$18+MultiLogRegr1stWeek!$B$19*14+MultiLogRegr1stWeek!$B$20*0))</f>
        <v>155.3919787597597</v>
      </c>
      <c r="U579">
        <v>577</v>
      </c>
      <c r="V579">
        <v>343</v>
      </c>
      <c r="W579">
        <v>162</v>
      </c>
    </row>
    <row r="580" spans="11:23" x14ac:dyDescent="0.3">
      <c r="K580">
        <v>579</v>
      </c>
      <c r="L580">
        <f t="shared" ca="1" si="11"/>
        <v>263.49664903447126</v>
      </c>
      <c r="M580">
        <f ca="1">IF(L580&lt;=0,0,10^(MultiLogRegr1stWeek!$B$17+LOG10(L580)*MultiLogRegr1stWeek!$B$18+MultiLogRegr1stWeek!$B$19*14+MultiLogRegr1stWeek!$B$20*0))</f>
        <v>117.88979076550396</v>
      </c>
      <c r="U580">
        <v>578</v>
      </c>
      <c r="V580">
        <v>338</v>
      </c>
      <c r="W580">
        <v>160</v>
      </c>
    </row>
    <row r="581" spans="11:23" x14ac:dyDescent="0.3">
      <c r="K581">
        <v>580</v>
      </c>
      <c r="L581">
        <f t="shared" ca="1" si="11"/>
        <v>506.60308388697359</v>
      </c>
      <c r="M581">
        <f ca="1">IF(L581&lt;=0,0,10^(MultiLogRegr1stWeek!$B$17+LOG10(L581)*MultiLogRegr1stWeek!$B$18+MultiLogRegr1stWeek!$B$19*14+MultiLogRegr1stWeek!$B$20*0))</f>
        <v>229.80728999710553</v>
      </c>
      <c r="U581">
        <v>579</v>
      </c>
      <c r="V581">
        <v>359</v>
      </c>
      <c r="W581">
        <v>170</v>
      </c>
    </row>
    <row r="582" spans="11:23" x14ac:dyDescent="0.3">
      <c r="K582">
        <v>581</v>
      </c>
      <c r="L582">
        <f t="shared" ca="1" si="11"/>
        <v>59.364407668296678</v>
      </c>
      <c r="M582">
        <f ca="1">IF(L582&lt;=0,0,10^(MultiLogRegr1stWeek!$B$17+LOG10(L582)*MultiLogRegr1stWeek!$B$18+MultiLogRegr1stWeek!$B$19*14+MultiLogRegr1stWeek!$B$20*0))</f>
        <v>25.737092918615961</v>
      </c>
      <c r="U582">
        <v>580</v>
      </c>
      <c r="V582">
        <v>341</v>
      </c>
      <c r="W582">
        <v>163</v>
      </c>
    </row>
    <row r="583" spans="11:23" x14ac:dyDescent="0.3">
      <c r="K583">
        <v>582</v>
      </c>
      <c r="L583">
        <f t="shared" ca="1" si="11"/>
        <v>-120.0606823675534</v>
      </c>
      <c r="M583">
        <f ca="1">IF(L583&lt;=0,0,10^(MultiLogRegr1stWeek!$B$17+LOG10(L583)*MultiLogRegr1stWeek!$B$18+MultiLogRegr1stWeek!$B$19*14+MultiLogRegr1stWeek!$B$20*0))</f>
        <v>0</v>
      </c>
      <c r="U583">
        <v>581</v>
      </c>
      <c r="V583">
        <v>345</v>
      </c>
      <c r="W583">
        <v>166</v>
      </c>
    </row>
    <row r="584" spans="11:23" x14ac:dyDescent="0.3">
      <c r="K584">
        <v>583</v>
      </c>
      <c r="L584">
        <f t="shared" ca="1" si="11"/>
        <v>588.56144341465188</v>
      </c>
      <c r="M584">
        <f ca="1">IF(L584&lt;=0,0,10^(MultiLogRegr1stWeek!$B$17+LOG10(L584)*MultiLogRegr1stWeek!$B$18+MultiLogRegr1stWeek!$B$19*14+MultiLogRegr1stWeek!$B$20*0))</f>
        <v>267.83231952542525</v>
      </c>
      <c r="U584">
        <v>582</v>
      </c>
      <c r="V584">
        <v>346</v>
      </c>
      <c r="W584">
        <v>165</v>
      </c>
    </row>
    <row r="585" spans="11:23" x14ac:dyDescent="0.3">
      <c r="K585">
        <v>584</v>
      </c>
      <c r="L585">
        <f t="shared" ca="1" si="11"/>
        <v>64.121396208523095</v>
      </c>
      <c r="M585">
        <f ca="1">IF(L585&lt;=0,0,10^(MultiLogRegr1stWeek!$B$17+LOG10(L585)*MultiLogRegr1stWeek!$B$18+MultiLogRegr1stWeek!$B$19*14+MultiLogRegr1stWeek!$B$20*0))</f>
        <v>27.844744774567378</v>
      </c>
      <c r="U585">
        <v>583</v>
      </c>
      <c r="V585">
        <v>352</v>
      </c>
      <c r="W585">
        <v>169</v>
      </c>
    </row>
    <row r="586" spans="11:23" x14ac:dyDescent="0.3">
      <c r="K586">
        <v>585</v>
      </c>
      <c r="L586">
        <f t="shared" ca="1" si="11"/>
        <v>94.654412908885377</v>
      </c>
      <c r="M586">
        <f ca="1">IF(L586&lt;=0,0,10^(MultiLogRegr1stWeek!$B$17+LOG10(L586)*MultiLogRegr1stWeek!$B$18+MultiLogRegr1stWeek!$B$19*14+MultiLogRegr1stWeek!$B$20*0))</f>
        <v>41.443150982383493</v>
      </c>
      <c r="U586">
        <v>584</v>
      </c>
      <c r="V586">
        <v>336</v>
      </c>
      <c r="W586">
        <v>161</v>
      </c>
    </row>
    <row r="587" spans="11:23" x14ac:dyDescent="0.3">
      <c r="K587">
        <v>586</v>
      </c>
      <c r="L587">
        <f t="shared" ca="1" si="11"/>
        <v>-459.63430143347739</v>
      </c>
      <c r="M587">
        <f ca="1">IF(L587&lt;=0,0,10^(MultiLogRegr1stWeek!$B$17+LOG10(L587)*MultiLogRegr1stWeek!$B$18+MultiLogRegr1stWeek!$B$19*14+MultiLogRegr1stWeek!$B$20*0))</f>
        <v>0</v>
      </c>
      <c r="U587">
        <v>585</v>
      </c>
      <c r="V587">
        <v>349</v>
      </c>
      <c r="W587">
        <v>168</v>
      </c>
    </row>
    <row r="588" spans="11:23" x14ac:dyDescent="0.3">
      <c r="K588">
        <v>587</v>
      </c>
      <c r="L588">
        <f t="shared" ca="1" si="11"/>
        <v>391.00219153871848</v>
      </c>
      <c r="M588">
        <f ca="1">IF(L588&lt;=0,0,10^(MultiLogRegr1stWeek!$B$17+LOG10(L588)*MultiLogRegr1stWeek!$B$18+MultiLogRegr1stWeek!$B$19*14+MultiLogRegr1stWeek!$B$20*0))</f>
        <v>176.40048598233534</v>
      </c>
      <c r="U588">
        <v>586</v>
      </c>
      <c r="V588">
        <v>332</v>
      </c>
      <c r="W588">
        <v>161</v>
      </c>
    </row>
    <row r="589" spans="11:23" x14ac:dyDescent="0.3">
      <c r="K589">
        <v>588</v>
      </c>
      <c r="L589">
        <f t="shared" ca="1" si="11"/>
        <v>328.1703868381698</v>
      </c>
      <c r="M589">
        <f ca="1">IF(L589&lt;=0,0,10^(MultiLogRegr1stWeek!$B$17+LOG10(L589)*MultiLogRegr1stWeek!$B$18+MultiLogRegr1stWeek!$B$19*14+MultiLogRegr1stWeek!$B$20*0))</f>
        <v>147.50726881892055</v>
      </c>
      <c r="U589">
        <v>587</v>
      </c>
      <c r="V589">
        <v>337</v>
      </c>
      <c r="W589">
        <v>162</v>
      </c>
    </row>
    <row r="590" spans="11:23" x14ac:dyDescent="0.3">
      <c r="K590">
        <v>589</v>
      </c>
      <c r="L590">
        <f t="shared" ca="1" si="11"/>
        <v>371.20866143361366</v>
      </c>
      <c r="M590">
        <f ca="1">IF(L590&lt;=0,0,10^(MultiLogRegr1stWeek!$B$17+LOG10(L590)*MultiLogRegr1stWeek!$B$18+MultiLogRegr1stWeek!$B$19*14+MultiLogRegr1stWeek!$B$20*0))</f>
        <v>167.28703025118503</v>
      </c>
      <c r="U590">
        <v>588</v>
      </c>
      <c r="V590">
        <v>318</v>
      </c>
      <c r="W590">
        <v>153</v>
      </c>
    </row>
    <row r="591" spans="11:23" x14ac:dyDescent="0.3">
      <c r="K591">
        <v>590</v>
      </c>
      <c r="L591">
        <f t="shared" ca="1" si="11"/>
        <v>11.345276712061832</v>
      </c>
      <c r="M591">
        <f ca="1">IF(L591&lt;=0,0,10^(MultiLogRegr1stWeek!$B$17+LOG10(L591)*MultiLogRegr1stWeek!$B$18+MultiLogRegr1stWeek!$B$19*14+MultiLogRegr1stWeek!$B$20*0))</f>
        <v>4.7497598688531184</v>
      </c>
      <c r="U591">
        <v>589</v>
      </c>
      <c r="V591">
        <v>335</v>
      </c>
      <c r="W591">
        <v>161</v>
      </c>
    </row>
    <row r="592" spans="11:23" x14ac:dyDescent="0.3">
      <c r="K592">
        <v>591</v>
      </c>
      <c r="L592">
        <f t="shared" ca="1" si="11"/>
        <v>523.8055215181771</v>
      </c>
      <c r="M592">
        <f ca="1">IF(L592&lt;=0,0,10^(MultiLogRegr1stWeek!$B$17+LOG10(L592)*MultiLogRegr1stWeek!$B$18+MultiLogRegr1stWeek!$B$19*14+MultiLogRegr1stWeek!$B$20*0))</f>
        <v>237.77833599150682</v>
      </c>
      <c r="U592">
        <v>590</v>
      </c>
      <c r="V592">
        <v>345</v>
      </c>
      <c r="W592">
        <v>166</v>
      </c>
    </row>
    <row r="593" spans="11:23" x14ac:dyDescent="0.3">
      <c r="K593">
        <v>592</v>
      </c>
      <c r="L593">
        <f t="shared" ca="1" si="11"/>
        <v>277.90610781736035</v>
      </c>
      <c r="M593">
        <f ca="1">IF(L593&lt;=0,0,10^(MultiLogRegr1stWeek!$B$17+LOG10(L593)*MultiLogRegr1stWeek!$B$18+MultiLogRegr1stWeek!$B$19*14+MultiLogRegr1stWeek!$B$20*0))</f>
        <v>124.47652998507787</v>
      </c>
      <c r="U593">
        <v>591</v>
      </c>
      <c r="V593">
        <v>340</v>
      </c>
      <c r="W593">
        <v>163</v>
      </c>
    </row>
    <row r="594" spans="11:23" x14ac:dyDescent="0.3">
      <c r="K594">
        <v>593</v>
      </c>
      <c r="L594">
        <f t="shared" ca="1" si="11"/>
        <v>56.415401630855797</v>
      </c>
      <c r="M594">
        <f ca="1">IF(L594&lt;=0,0,10^(MultiLogRegr1stWeek!$B$17+LOG10(L594)*MultiLogRegr1stWeek!$B$18+MultiLogRegr1stWeek!$B$19*14+MultiLogRegr1stWeek!$B$20*0))</f>
        <v>24.43226647733584</v>
      </c>
      <c r="U594">
        <v>592</v>
      </c>
      <c r="V594">
        <v>343</v>
      </c>
      <c r="W594">
        <v>163</v>
      </c>
    </row>
    <row r="595" spans="11:23" x14ac:dyDescent="0.3">
      <c r="K595">
        <v>594</v>
      </c>
      <c r="L595">
        <f t="shared" ca="1" si="11"/>
        <v>355.50474510893093</v>
      </c>
      <c r="M595">
        <f ca="1">IF(L595&lt;=0,0,10^(MultiLogRegr1stWeek!$B$17+LOG10(L595)*MultiLogRegr1stWeek!$B$18+MultiLogRegr1stWeek!$B$19*14+MultiLogRegr1stWeek!$B$20*0))</f>
        <v>160.06381183039232</v>
      </c>
      <c r="U595">
        <v>593</v>
      </c>
      <c r="V595">
        <v>336</v>
      </c>
      <c r="W595">
        <v>163</v>
      </c>
    </row>
    <row r="596" spans="11:23" x14ac:dyDescent="0.3">
      <c r="K596">
        <v>595</v>
      </c>
      <c r="L596">
        <f t="shared" ca="1" si="11"/>
        <v>-251.57323992715703</v>
      </c>
      <c r="M596">
        <f ca="1">IF(L596&lt;=0,0,10^(MultiLogRegr1stWeek!$B$17+LOG10(L596)*MultiLogRegr1stWeek!$B$18+MultiLogRegr1stWeek!$B$19*14+MultiLogRegr1stWeek!$B$20*0))</f>
        <v>0</v>
      </c>
      <c r="U596">
        <v>594</v>
      </c>
      <c r="V596">
        <v>343</v>
      </c>
      <c r="W596">
        <v>164</v>
      </c>
    </row>
    <row r="597" spans="11:23" x14ac:dyDescent="0.3">
      <c r="K597">
        <v>596</v>
      </c>
      <c r="L597">
        <f t="shared" ca="1" si="11"/>
        <v>284.94256681615013</v>
      </c>
      <c r="M597">
        <f ca="1">IF(L597&lt;=0,0,10^(MultiLogRegr1stWeek!$B$17+LOG10(L597)*MultiLogRegr1stWeek!$B$18+MultiLogRegr1stWeek!$B$19*14+MultiLogRegr1stWeek!$B$20*0))</f>
        <v>127.69562689542202</v>
      </c>
      <c r="U597">
        <v>595</v>
      </c>
      <c r="V597">
        <v>333</v>
      </c>
      <c r="W597">
        <v>158</v>
      </c>
    </row>
    <row r="598" spans="11:23" x14ac:dyDescent="0.3">
      <c r="K598">
        <v>597</v>
      </c>
      <c r="L598">
        <f t="shared" ca="1" si="11"/>
        <v>146.35222175837052</v>
      </c>
      <c r="M598">
        <f ca="1">IF(L598&lt;=0,0,10^(MultiLogRegr1stWeek!$B$17+LOG10(L598)*MultiLogRegr1stWeek!$B$18+MultiLogRegr1stWeek!$B$19*14+MultiLogRegr1stWeek!$B$20*0))</f>
        <v>64.670725310495499</v>
      </c>
      <c r="U598">
        <v>596</v>
      </c>
      <c r="V598">
        <v>336</v>
      </c>
      <c r="W598">
        <v>161</v>
      </c>
    </row>
    <row r="599" spans="11:23" x14ac:dyDescent="0.3">
      <c r="K599">
        <v>598</v>
      </c>
      <c r="L599">
        <f t="shared" ca="1" si="11"/>
        <v>106.04792881084805</v>
      </c>
      <c r="M599">
        <f ca="1">IF(L599&lt;=0,0,10^(MultiLogRegr1stWeek!$B$17+LOG10(L599)*MultiLogRegr1stWeek!$B$18+MultiLogRegr1stWeek!$B$19*14+MultiLogRegr1stWeek!$B$20*0))</f>
        <v>46.543221525836373</v>
      </c>
      <c r="U599">
        <v>597</v>
      </c>
      <c r="V599">
        <v>320</v>
      </c>
      <c r="W599">
        <v>156</v>
      </c>
    </row>
    <row r="600" spans="11:23" x14ac:dyDescent="0.3">
      <c r="K600">
        <v>599</v>
      </c>
      <c r="L600">
        <f t="shared" ca="1" si="11"/>
        <v>41.741405786654354</v>
      </c>
      <c r="M600">
        <f ca="1">IF(L600&lt;=0,0,10^(MultiLogRegr1stWeek!$B$17+LOG10(L600)*MultiLogRegr1stWeek!$B$18+MultiLogRegr1stWeek!$B$19*14+MultiLogRegr1stWeek!$B$20*0))</f>
        <v>17.962651142735595</v>
      </c>
      <c r="U600">
        <v>598</v>
      </c>
      <c r="V600">
        <v>341</v>
      </c>
      <c r="W600">
        <v>163</v>
      </c>
    </row>
    <row r="601" spans="11:23" x14ac:dyDescent="0.3">
      <c r="K601">
        <v>600</v>
      </c>
      <c r="L601">
        <f t="shared" ca="1" si="11"/>
        <v>-144.53786958790573</v>
      </c>
      <c r="M601">
        <f ca="1">IF(L601&lt;=0,0,10^(MultiLogRegr1stWeek!$B$17+LOG10(L601)*MultiLogRegr1stWeek!$B$18+MultiLogRegr1stWeek!$B$19*14+MultiLogRegr1stWeek!$B$20*0))</f>
        <v>0</v>
      </c>
      <c r="U601">
        <v>599</v>
      </c>
      <c r="V601">
        <v>341</v>
      </c>
      <c r="W601">
        <v>162</v>
      </c>
    </row>
    <row r="602" spans="11:23" x14ac:dyDescent="0.3">
      <c r="K602">
        <v>601</v>
      </c>
      <c r="L602">
        <f t="shared" ca="1" si="11"/>
        <v>325.54972437701048</v>
      </c>
      <c r="M602">
        <f ca="1">IF(L602&lt;=0,0,10^(MultiLogRegr1stWeek!$B$17+LOG10(L602)*MultiLogRegr1stWeek!$B$18+MultiLogRegr1stWeek!$B$19*14+MultiLogRegr1stWeek!$B$20*0))</f>
        <v>146.30455091553603</v>
      </c>
      <c r="U602">
        <v>600</v>
      </c>
      <c r="V602">
        <v>321</v>
      </c>
      <c r="W602">
        <v>155</v>
      </c>
    </row>
    <row r="603" spans="11:23" x14ac:dyDescent="0.3">
      <c r="K603">
        <v>602</v>
      </c>
      <c r="L603">
        <f t="shared" ca="1" si="11"/>
        <v>125.89440072715854</v>
      </c>
      <c r="M603">
        <f ca="1">IF(L603&lt;=0,0,10^(MultiLogRegr1stWeek!$B$17+LOG10(L603)*MultiLogRegr1stWeek!$B$18+MultiLogRegr1stWeek!$B$19*14+MultiLogRegr1stWeek!$B$20*0))</f>
        <v>55.454136340724403</v>
      </c>
      <c r="U603">
        <v>601</v>
      </c>
      <c r="V603">
        <v>339</v>
      </c>
      <c r="W603">
        <v>162</v>
      </c>
    </row>
    <row r="604" spans="11:23" x14ac:dyDescent="0.3">
      <c r="K604">
        <v>603</v>
      </c>
      <c r="L604">
        <f t="shared" ca="1" si="11"/>
        <v>653.47806366445502</v>
      </c>
      <c r="M604">
        <f ca="1">IF(L604&lt;=0,0,10^(MultiLogRegr1stWeek!$B$17+LOG10(L604)*MultiLogRegr1stWeek!$B$18+MultiLogRegr1stWeek!$B$19*14+MultiLogRegr1stWeek!$B$20*0))</f>
        <v>298.03118733401874</v>
      </c>
      <c r="U604">
        <v>602</v>
      </c>
      <c r="V604">
        <v>324</v>
      </c>
      <c r="W604">
        <v>155</v>
      </c>
    </row>
    <row r="605" spans="11:23" x14ac:dyDescent="0.3">
      <c r="K605">
        <v>604</v>
      </c>
      <c r="L605">
        <f t="shared" ca="1" si="11"/>
        <v>283.5243741356125</v>
      </c>
      <c r="M605">
        <f ca="1">IF(L605&lt;=0,0,10^(MultiLogRegr1stWeek!$B$17+LOG10(L605)*MultiLogRegr1stWeek!$B$18+MultiLogRegr1stWeek!$B$19*14+MultiLogRegr1stWeek!$B$20*0))</f>
        <v>127.04668405977348</v>
      </c>
      <c r="U605">
        <v>603</v>
      </c>
      <c r="V605">
        <v>346</v>
      </c>
      <c r="W605">
        <v>166</v>
      </c>
    </row>
    <row r="606" spans="11:23" x14ac:dyDescent="0.3">
      <c r="K606">
        <v>605</v>
      </c>
      <c r="L606">
        <f t="shared" ca="1" si="11"/>
        <v>314.64323414153529</v>
      </c>
      <c r="M606">
        <f ca="1">IF(L606&lt;=0,0,10^(MultiLogRegr1stWeek!$B$17+LOG10(L606)*MultiLogRegr1stWeek!$B$18+MultiLogRegr1stWeek!$B$19*14+MultiLogRegr1stWeek!$B$20*0))</f>
        <v>141.30137776737169</v>
      </c>
      <c r="U606">
        <v>604</v>
      </c>
      <c r="V606">
        <v>328</v>
      </c>
      <c r="W606">
        <v>158</v>
      </c>
    </row>
    <row r="607" spans="11:23" x14ac:dyDescent="0.3">
      <c r="K607">
        <v>606</v>
      </c>
      <c r="L607">
        <f t="shared" ca="1" si="11"/>
        <v>264.19065462210892</v>
      </c>
      <c r="M607">
        <f ca="1">IF(L607&lt;=0,0,10^(MultiLogRegr1stWeek!$B$17+LOG10(L607)*MultiLogRegr1stWeek!$B$18+MultiLogRegr1stWeek!$B$19*14+MultiLogRegr1stWeek!$B$20*0))</f>
        <v>118.20685810200426</v>
      </c>
      <c r="U607">
        <v>605</v>
      </c>
      <c r="V607">
        <v>338</v>
      </c>
      <c r="W607">
        <v>162</v>
      </c>
    </row>
    <row r="608" spans="11:23" x14ac:dyDescent="0.3">
      <c r="K608">
        <v>607</v>
      </c>
      <c r="L608">
        <f t="shared" ca="1" si="11"/>
        <v>639.24480637753118</v>
      </c>
      <c r="M608">
        <f ca="1">IF(L608&lt;=0,0,10^(MultiLogRegr1stWeek!$B$17+LOG10(L608)*MultiLogRegr1stWeek!$B$18+MultiLogRegr1stWeek!$B$19*14+MultiLogRegr1stWeek!$B$20*0))</f>
        <v>291.40429726592924</v>
      </c>
      <c r="U608">
        <v>606</v>
      </c>
      <c r="V608">
        <v>334</v>
      </c>
      <c r="W608">
        <v>159</v>
      </c>
    </row>
    <row r="609" spans="11:23" x14ac:dyDescent="0.3">
      <c r="K609">
        <v>608</v>
      </c>
      <c r="L609">
        <f t="shared" ca="1" si="11"/>
        <v>193.06666308204521</v>
      </c>
      <c r="M609">
        <f ca="1">IF(L609&lt;=0,0,10^(MultiLogRegr1stWeek!$B$17+LOG10(L609)*MultiLogRegr1stWeek!$B$18+MultiLogRegr1stWeek!$B$19*14+MultiLogRegr1stWeek!$B$20*0))</f>
        <v>85.813616915873695</v>
      </c>
      <c r="U609">
        <v>607</v>
      </c>
      <c r="V609">
        <v>335</v>
      </c>
      <c r="W609">
        <v>161</v>
      </c>
    </row>
    <row r="610" spans="11:23" x14ac:dyDescent="0.3">
      <c r="K610">
        <v>609</v>
      </c>
      <c r="L610">
        <f t="shared" ca="1" si="11"/>
        <v>31.32651381476694</v>
      </c>
      <c r="M610">
        <f ca="1">IF(L610&lt;=0,0,10^(MultiLogRegr1stWeek!$B$17+LOG10(L610)*MultiLogRegr1stWeek!$B$18+MultiLogRegr1stWeek!$B$19*14+MultiLogRegr1stWeek!$B$20*0))</f>
        <v>13.39933148525377</v>
      </c>
      <c r="U610">
        <v>608</v>
      </c>
      <c r="V610">
        <v>329</v>
      </c>
      <c r="W610">
        <v>158</v>
      </c>
    </row>
    <row r="611" spans="11:23" x14ac:dyDescent="0.3">
      <c r="K611">
        <v>610</v>
      </c>
      <c r="L611">
        <f t="shared" ca="1" si="11"/>
        <v>607.19538497045232</v>
      </c>
      <c r="M611">
        <f ca="1">IF(L611&lt;=0,0,10^(MultiLogRegr1stWeek!$B$17+LOG10(L611)*MultiLogRegr1stWeek!$B$18+MultiLogRegr1stWeek!$B$19*14+MultiLogRegr1stWeek!$B$20*0))</f>
        <v>276.4938561972296</v>
      </c>
      <c r="U611">
        <v>609</v>
      </c>
      <c r="V611">
        <v>337</v>
      </c>
      <c r="W611">
        <v>162</v>
      </c>
    </row>
    <row r="612" spans="11:23" x14ac:dyDescent="0.3">
      <c r="K612">
        <v>611</v>
      </c>
      <c r="L612">
        <f t="shared" ca="1" si="11"/>
        <v>464.64600184394482</v>
      </c>
      <c r="M612">
        <f ca="1">IF(L612&lt;=0,0,10^(MultiLogRegr1stWeek!$B$17+LOG10(L612)*MultiLogRegr1stWeek!$B$18+MultiLogRegr1stWeek!$B$19*14+MultiLogRegr1stWeek!$B$20*0))</f>
        <v>210.39011827771245</v>
      </c>
      <c r="U612">
        <v>610</v>
      </c>
      <c r="V612">
        <v>319</v>
      </c>
      <c r="W612">
        <v>154</v>
      </c>
    </row>
    <row r="613" spans="11:23" x14ac:dyDescent="0.3">
      <c r="K613">
        <v>612</v>
      </c>
      <c r="L613">
        <f t="shared" ca="1" si="11"/>
        <v>166.36006713304059</v>
      </c>
      <c r="M613">
        <f ca="1">IF(L613&lt;=0,0,10^(MultiLogRegr1stWeek!$B$17+LOG10(L613)*MultiLogRegr1stWeek!$B$18+MultiLogRegr1stWeek!$B$19*14+MultiLogRegr1stWeek!$B$20*0))</f>
        <v>73.711056708785733</v>
      </c>
      <c r="U613">
        <v>611</v>
      </c>
      <c r="V613">
        <v>347</v>
      </c>
      <c r="W613">
        <v>166</v>
      </c>
    </row>
    <row r="614" spans="11:23" x14ac:dyDescent="0.3">
      <c r="K614">
        <v>613</v>
      </c>
      <c r="L614">
        <f t="shared" ca="1" si="11"/>
        <v>374.05920715472718</v>
      </c>
      <c r="M614">
        <f ca="1">IF(L614&lt;=0,0,10^(MultiLogRegr1stWeek!$B$17+LOG10(L614)*MultiLogRegr1stWeek!$B$18+MultiLogRegr1stWeek!$B$19*14+MultiLogRegr1stWeek!$B$20*0))</f>
        <v>168.59887570447961</v>
      </c>
      <c r="U614">
        <v>612</v>
      </c>
      <c r="V614">
        <v>337</v>
      </c>
      <c r="W614">
        <v>162</v>
      </c>
    </row>
    <row r="615" spans="11:23" x14ac:dyDescent="0.3">
      <c r="K615">
        <v>614</v>
      </c>
      <c r="L615">
        <f t="shared" ca="1" si="11"/>
        <v>635.64890948469838</v>
      </c>
      <c r="M615">
        <f ca="1">IF(L615&lt;=0,0,10^(MultiLogRegr1stWeek!$B$17+LOG10(L615)*MultiLogRegr1stWeek!$B$18+MultiLogRegr1stWeek!$B$19*14+MultiLogRegr1stWeek!$B$20*0))</f>
        <v>289.73056687468238</v>
      </c>
      <c r="U615">
        <v>613</v>
      </c>
      <c r="V615">
        <v>335</v>
      </c>
      <c r="W615">
        <v>161</v>
      </c>
    </row>
    <row r="616" spans="11:23" x14ac:dyDescent="0.3">
      <c r="K616">
        <v>615</v>
      </c>
      <c r="L616">
        <f t="shared" ca="1" si="11"/>
        <v>575.21177528603789</v>
      </c>
      <c r="M616">
        <f ca="1">IF(L616&lt;=0,0,10^(MultiLogRegr1stWeek!$B$17+LOG10(L616)*MultiLogRegr1stWeek!$B$18+MultiLogRegr1stWeek!$B$19*14+MultiLogRegr1stWeek!$B$20*0))</f>
        <v>261.63059863721736</v>
      </c>
      <c r="U616">
        <v>614</v>
      </c>
      <c r="V616">
        <v>322</v>
      </c>
      <c r="W616">
        <v>156</v>
      </c>
    </row>
    <row r="617" spans="11:23" x14ac:dyDescent="0.3">
      <c r="K617">
        <v>616</v>
      </c>
      <c r="L617">
        <f t="shared" ca="1" si="11"/>
        <v>362.09119360394379</v>
      </c>
      <c r="M617">
        <f ca="1">IF(L617&lt;=0,0,10^(MultiLogRegr1stWeek!$B$17+LOG10(L617)*MultiLogRegr1stWeek!$B$18+MultiLogRegr1stWeek!$B$19*14+MultiLogRegr1stWeek!$B$20*0))</f>
        <v>163.09252998527518</v>
      </c>
      <c r="U617">
        <v>615</v>
      </c>
      <c r="V617">
        <v>336</v>
      </c>
      <c r="W617">
        <v>160</v>
      </c>
    </row>
    <row r="618" spans="11:23" x14ac:dyDescent="0.3">
      <c r="K618">
        <v>617</v>
      </c>
      <c r="L618">
        <f t="shared" ca="1" si="11"/>
        <v>-19.370818116912346</v>
      </c>
      <c r="M618">
        <f ca="1">IF(L618&lt;=0,0,10^(MultiLogRegr1stWeek!$B$17+LOG10(L618)*MultiLogRegr1stWeek!$B$18+MultiLogRegr1stWeek!$B$19*14+MultiLogRegr1stWeek!$B$20*0))</f>
        <v>0</v>
      </c>
      <c r="U618">
        <v>616</v>
      </c>
      <c r="V618">
        <v>330</v>
      </c>
      <c r="W618">
        <v>159</v>
      </c>
    </row>
    <row r="619" spans="11:23" x14ac:dyDescent="0.3">
      <c r="K619">
        <v>618</v>
      </c>
      <c r="L619">
        <f t="shared" ca="1" si="11"/>
        <v>964.14061164025793</v>
      </c>
      <c r="M619">
        <f ca="1">IF(L619&lt;=0,0,10^(MultiLogRegr1stWeek!$B$17+LOG10(L619)*MultiLogRegr1stWeek!$B$18+MultiLogRegr1stWeek!$B$19*14+MultiLogRegr1stWeek!$B$20*0))</f>
        <v>443.34098413562805</v>
      </c>
      <c r="U619">
        <v>617</v>
      </c>
      <c r="V619">
        <v>353</v>
      </c>
      <c r="W619">
        <v>167</v>
      </c>
    </row>
    <row r="620" spans="11:23" x14ac:dyDescent="0.3">
      <c r="K620">
        <v>619</v>
      </c>
      <c r="L620">
        <f t="shared" ca="1" si="11"/>
        <v>476.11955614829407</v>
      </c>
      <c r="M620">
        <f ca="1">IF(L620&lt;=0,0,10^(MultiLogRegr1stWeek!$B$17+LOG10(L620)*MultiLogRegr1stWeek!$B$18+MultiLogRegr1stWeek!$B$19*14+MultiLogRegr1stWeek!$B$20*0))</f>
        <v>215.69638152230249</v>
      </c>
      <c r="U620">
        <v>618</v>
      </c>
      <c r="V620">
        <v>338</v>
      </c>
      <c r="W620">
        <v>162</v>
      </c>
    </row>
    <row r="621" spans="11:23" x14ac:dyDescent="0.3">
      <c r="K621">
        <v>620</v>
      </c>
      <c r="L621">
        <f t="shared" ca="1" si="11"/>
        <v>89.061201223950007</v>
      </c>
      <c r="M621">
        <f ca="1">IF(L621&lt;=0,0,10^(MultiLogRegr1stWeek!$B$17+LOG10(L621)*MultiLogRegr1stWeek!$B$18+MultiLogRegr1stWeek!$B$19*14+MultiLogRegr1stWeek!$B$20*0))</f>
        <v>38.944117350978509</v>
      </c>
      <c r="U621">
        <v>619</v>
      </c>
      <c r="V621">
        <v>346</v>
      </c>
      <c r="W621">
        <v>165</v>
      </c>
    </row>
    <row r="622" spans="11:23" x14ac:dyDescent="0.3">
      <c r="K622">
        <v>621</v>
      </c>
      <c r="L622">
        <f t="shared" ca="1" si="11"/>
        <v>445.35937406700236</v>
      </c>
      <c r="M622">
        <f ca="1">IF(L622&lt;=0,0,10^(MultiLogRegr1stWeek!$B$17+LOG10(L622)*MultiLogRegr1stWeek!$B$18+MultiLogRegr1stWeek!$B$19*14+MultiLogRegr1stWeek!$B$20*0))</f>
        <v>201.47675115936994</v>
      </c>
      <c r="U622">
        <v>620</v>
      </c>
      <c r="V622">
        <v>338</v>
      </c>
      <c r="W622">
        <v>163</v>
      </c>
    </row>
    <row r="623" spans="11:23" x14ac:dyDescent="0.3">
      <c r="K623">
        <v>622</v>
      </c>
      <c r="L623">
        <f t="shared" ca="1" si="11"/>
        <v>469.29301530466455</v>
      </c>
      <c r="M623">
        <f ca="1">IF(L623&lt;=0,0,10^(MultiLogRegr1stWeek!$B$17+LOG10(L623)*MultiLogRegr1stWeek!$B$18+MultiLogRegr1stWeek!$B$19*14+MultiLogRegr1stWeek!$B$20*0))</f>
        <v>212.53892890082327</v>
      </c>
      <c r="U623">
        <v>621</v>
      </c>
      <c r="V623">
        <v>339</v>
      </c>
      <c r="W623">
        <v>161</v>
      </c>
    </row>
    <row r="624" spans="11:23" x14ac:dyDescent="0.3">
      <c r="K624">
        <v>623</v>
      </c>
      <c r="L624">
        <f t="shared" ca="1" si="11"/>
        <v>192.49549577880526</v>
      </c>
      <c r="M624">
        <f ca="1">IF(L624&lt;=0,0,10^(MultiLogRegr1stWeek!$B$17+LOG10(L624)*MultiLogRegr1stWeek!$B$18+MultiLogRegr1stWeek!$B$19*14+MultiLogRegr1stWeek!$B$20*0))</f>
        <v>85.554393609173104</v>
      </c>
      <c r="U624">
        <v>622</v>
      </c>
      <c r="V624">
        <v>351</v>
      </c>
      <c r="W624">
        <v>166</v>
      </c>
    </row>
    <row r="625" spans="11:23" x14ac:dyDescent="0.3">
      <c r="K625">
        <v>624</v>
      </c>
      <c r="L625">
        <f t="shared" ca="1" si="11"/>
        <v>450.06980126745145</v>
      </c>
      <c r="M625">
        <f ca="1">IF(L625&lt;=0,0,10^(MultiLogRegr1stWeek!$B$17+LOG10(L625)*MultiLogRegr1stWeek!$B$18+MultiLogRegr1stWeek!$B$19*14+MultiLogRegr1stWeek!$B$20*0))</f>
        <v>203.65294880991286</v>
      </c>
      <c r="U625">
        <v>623</v>
      </c>
      <c r="V625">
        <v>330</v>
      </c>
      <c r="W625">
        <v>159</v>
      </c>
    </row>
    <row r="626" spans="11:23" x14ac:dyDescent="0.3">
      <c r="K626">
        <v>625</v>
      </c>
      <c r="L626">
        <f t="shared" ca="1" si="11"/>
        <v>488.06446817714186</v>
      </c>
      <c r="M626">
        <f ca="1">IF(L626&lt;=0,0,10^(MultiLogRegr1stWeek!$B$17+LOG10(L626)*MultiLogRegr1stWeek!$B$18+MultiLogRegr1stWeek!$B$19*14+MultiLogRegr1stWeek!$B$20*0))</f>
        <v>221.22350617858706</v>
      </c>
      <c r="U626">
        <v>624</v>
      </c>
      <c r="V626">
        <v>330</v>
      </c>
      <c r="W626">
        <v>159</v>
      </c>
    </row>
    <row r="627" spans="11:23" x14ac:dyDescent="0.3">
      <c r="K627">
        <v>626</v>
      </c>
      <c r="L627">
        <f t="shared" ca="1" si="11"/>
        <v>335.23360148602131</v>
      </c>
      <c r="M627">
        <f ca="1">IF(L627&lt;=0,0,10^(MultiLogRegr1stWeek!$B$17+LOG10(L627)*MultiLogRegr1stWeek!$B$18+MultiLogRegr1stWeek!$B$19*14+MultiLogRegr1stWeek!$B$20*0))</f>
        <v>150.74984212338566</v>
      </c>
      <c r="U627">
        <v>625</v>
      </c>
      <c r="V627">
        <v>330</v>
      </c>
      <c r="W627">
        <v>159</v>
      </c>
    </row>
    <row r="628" spans="11:23" x14ac:dyDescent="0.3">
      <c r="K628">
        <v>627</v>
      </c>
      <c r="L628">
        <f t="shared" ca="1" si="11"/>
        <v>560.74489222554848</v>
      </c>
      <c r="M628">
        <f ca="1">IF(L628&lt;=0,0,10^(MultiLogRegr1stWeek!$B$17+LOG10(L628)*MultiLogRegr1stWeek!$B$18+MultiLogRegr1stWeek!$B$19*14+MultiLogRegr1stWeek!$B$20*0))</f>
        <v>254.91329765523653</v>
      </c>
      <c r="U628">
        <v>626</v>
      </c>
      <c r="V628">
        <v>323</v>
      </c>
      <c r="W628">
        <v>155</v>
      </c>
    </row>
    <row r="629" spans="11:23" x14ac:dyDescent="0.3">
      <c r="K629">
        <v>628</v>
      </c>
      <c r="L629">
        <f t="shared" ca="1" si="11"/>
        <v>708.80502582572331</v>
      </c>
      <c r="M629">
        <f ca="1">IF(L629&lt;=0,0,10^(MultiLogRegr1stWeek!$B$17+LOG10(L629)*MultiLogRegr1stWeek!$B$18+MultiLogRegr1stWeek!$B$19*14+MultiLogRegr1stWeek!$B$20*0))</f>
        <v>323.81936538540725</v>
      </c>
      <c r="U629">
        <v>627</v>
      </c>
      <c r="V629">
        <v>331</v>
      </c>
      <c r="W629">
        <v>160</v>
      </c>
    </row>
    <row r="630" spans="11:23" x14ac:dyDescent="0.3">
      <c r="K630">
        <v>629</v>
      </c>
      <c r="L630">
        <f t="shared" ca="1" si="11"/>
        <v>241.68582925419724</v>
      </c>
      <c r="M630">
        <f ca="1">IF(L630&lt;=0,0,10^(MultiLogRegr1stWeek!$B$17+LOG10(L630)*MultiLogRegr1stWeek!$B$18+MultiLogRegr1stWeek!$B$19*14+MultiLogRegr1stWeek!$B$20*0))</f>
        <v>107.93440635091019</v>
      </c>
      <c r="U630">
        <v>628</v>
      </c>
      <c r="V630">
        <v>325</v>
      </c>
      <c r="W630">
        <v>157</v>
      </c>
    </row>
    <row r="631" spans="11:23" x14ac:dyDescent="0.3">
      <c r="K631">
        <v>630</v>
      </c>
      <c r="L631">
        <f t="shared" ca="1" si="11"/>
        <v>-39.620458347804345</v>
      </c>
      <c r="M631">
        <f ca="1">IF(L631&lt;=0,0,10^(MultiLogRegr1stWeek!$B$17+LOG10(L631)*MultiLogRegr1stWeek!$B$18+MultiLogRegr1stWeek!$B$19*14+MultiLogRegr1stWeek!$B$20*0))</f>
        <v>0</v>
      </c>
      <c r="U631">
        <v>629</v>
      </c>
      <c r="V631">
        <v>348</v>
      </c>
      <c r="W631">
        <v>166</v>
      </c>
    </row>
    <row r="632" spans="11:23" x14ac:dyDescent="0.3">
      <c r="K632">
        <v>631</v>
      </c>
      <c r="L632">
        <f t="shared" ca="1" si="11"/>
        <v>156.24255050966534</v>
      </c>
      <c r="M632">
        <f ca="1">IF(L632&lt;=0,0,10^(MultiLogRegr1stWeek!$B$17+LOG10(L632)*MultiLogRegr1stWeek!$B$18+MultiLogRegr1stWeek!$B$19*14+MultiLogRegr1stWeek!$B$20*0))</f>
        <v>69.136508854508619</v>
      </c>
      <c r="U632">
        <v>630</v>
      </c>
      <c r="V632">
        <v>344</v>
      </c>
      <c r="W632">
        <v>164</v>
      </c>
    </row>
    <row r="633" spans="11:23" x14ac:dyDescent="0.3">
      <c r="K633">
        <v>632</v>
      </c>
      <c r="L633">
        <f t="shared" ca="1" si="11"/>
        <v>631.99479751059584</v>
      </c>
      <c r="M633">
        <f ca="1">IF(L633&lt;=0,0,10^(MultiLogRegr1stWeek!$B$17+LOG10(L633)*MultiLogRegr1stWeek!$B$18+MultiLogRegr1stWeek!$B$19*14+MultiLogRegr1stWeek!$B$20*0))</f>
        <v>288.02994476428319</v>
      </c>
      <c r="U633">
        <v>631</v>
      </c>
      <c r="V633">
        <v>325</v>
      </c>
      <c r="W633">
        <v>155</v>
      </c>
    </row>
    <row r="634" spans="11:23" x14ac:dyDescent="0.3">
      <c r="K634">
        <v>633</v>
      </c>
      <c r="L634">
        <f t="shared" ca="1" si="11"/>
        <v>272.49331619748784</v>
      </c>
      <c r="M634">
        <f ca="1">IF(L634&lt;=0,0,10^(MultiLogRegr1stWeek!$B$17+LOG10(L634)*MultiLogRegr1stWeek!$B$18+MultiLogRegr1stWeek!$B$19*14+MultiLogRegr1stWeek!$B$20*0))</f>
        <v>122.0014105151358</v>
      </c>
      <c r="U634">
        <v>632</v>
      </c>
      <c r="V634">
        <v>343</v>
      </c>
      <c r="W634">
        <v>163</v>
      </c>
    </row>
    <row r="635" spans="11:23" x14ac:dyDescent="0.3">
      <c r="K635">
        <v>634</v>
      </c>
      <c r="L635">
        <f t="shared" ca="1" si="11"/>
        <v>325.3001080404913</v>
      </c>
      <c r="M635">
        <f ca="1">IF(L635&lt;=0,0,10^(MultiLogRegr1stWeek!$B$17+LOG10(L635)*MultiLogRegr1stWeek!$B$18+MultiLogRegr1stWeek!$B$19*14+MultiLogRegr1stWeek!$B$20*0))</f>
        <v>146.19000348235221</v>
      </c>
      <c r="U635">
        <v>633</v>
      </c>
      <c r="V635">
        <v>329</v>
      </c>
      <c r="W635">
        <v>158</v>
      </c>
    </row>
    <row r="636" spans="11:23" x14ac:dyDescent="0.3">
      <c r="K636">
        <v>635</v>
      </c>
      <c r="L636">
        <f t="shared" ca="1" si="11"/>
        <v>-290.25681361744296</v>
      </c>
      <c r="M636">
        <f ca="1">IF(L636&lt;=0,0,10^(MultiLogRegr1stWeek!$B$17+LOG10(L636)*MultiLogRegr1stWeek!$B$18+MultiLogRegr1stWeek!$B$19*14+MultiLogRegr1stWeek!$B$20*0))</f>
        <v>0</v>
      </c>
      <c r="U636">
        <v>634</v>
      </c>
      <c r="V636">
        <v>339</v>
      </c>
      <c r="W636">
        <v>161</v>
      </c>
    </row>
    <row r="637" spans="11:23" x14ac:dyDescent="0.3">
      <c r="K637">
        <v>636</v>
      </c>
      <c r="L637">
        <f t="shared" ca="1" si="11"/>
        <v>259.03061685023448</v>
      </c>
      <c r="M637">
        <f ca="1">IF(L637&lt;=0,0,10^(MultiLogRegr1stWeek!$B$17+LOG10(L637)*MultiLogRegr1stWeek!$B$18+MultiLogRegr1stWeek!$B$19*14+MultiLogRegr1stWeek!$B$20*0))</f>
        <v>115.84983777426926</v>
      </c>
      <c r="U637">
        <v>635</v>
      </c>
      <c r="V637">
        <v>337</v>
      </c>
      <c r="W637">
        <v>162</v>
      </c>
    </row>
    <row r="638" spans="11:23" x14ac:dyDescent="0.3">
      <c r="K638">
        <v>637</v>
      </c>
      <c r="L638">
        <f t="shared" ca="1" si="11"/>
        <v>553.1740700276373</v>
      </c>
      <c r="M638">
        <f ca="1">IF(L638&lt;=0,0,10^(MultiLogRegr1stWeek!$B$17+LOG10(L638)*MultiLogRegr1stWeek!$B$18+MultiLogRegr1stWeek!$B$19*14+MultiLogRegr1stWeek!$B$20*0))</f>
        <v>251.39944623906393</v>
      </c>
      <c r="U638">
        <v>636</v>
      </c>
      <c r="V638">
        <v>340</v>
      </c>
      <c r="W638">
        <v>161</v>
      </c>
    </row>
    <row r="639" spans="11:23" x14ac:dyDescent="0.3">
      <c r="K639">
        <v>638</v>
      </c>
      <c r="L639">
        <f t="shared" ca="1" si="11"/>
        <v>684.16299737498412</v>
      </c>
      <c r="M639">
        <f ca="1">IF(L639&lt;=0,0,10^(MultiLogRegr1stWeek!$B$17+LOG10(L639)*MultiLogRegr1stWeek!$B$18+MultiLogRegr1stWeek!$B$19*14+MultiLogRegr1stWeek!$B$20*0))</f>
        <v>312.32813402507122</v>
      </c>
      <c r="U639">
        <v>637</v>
      </c>
      <c r="V639">
        <v>336</v>
      </c>
      <c r="W639">
        <v>162</v>
      </c>
    </row>
    <row r="640" spans="11:23" x14ac:dyDescent="0.3">
      <c r="K640">
        <v>639</v>
      </c>
      <c r="L640">
        <f t="shared" ca="1" si="11"/>
        <v>788.14511926783234</v>
      </c>
      <c r="M640">
        <f ca="1">IF(L640&lt;=0,0,10^(MultiLogRegr1stWeek!$B$17+LOG10(L640)*MultiLogRegr1stWeek!$B$18+MultiLogRegr1stWeek!$B$19*14+MultiLogRegr1stWeek!$B$20*0))</f>
        <v>360.87372580611202</v>
      </c>
      <c r="U640">
        <v>638</v>
      </c>
      <c r="V640">
        <v>340</v>
      </c>
      <c r="W640">
        <v>161</v>
      </c>
    </row>
    <row r="641" spans="11:23" x14ac:dyDescent="0.3">
      <c r="K641">
        <v>640</v>
      </c>
      <c r="L641">
        <f t="shared" ca="1" si="11"/>
        <v>309.97042858867434</v>
      </c>
      <c r="M641">
        <f ca="1">IF(L641&lt;=0,0,10^(MultiLogRegr1stWeek!$B$17+LOG10(L641)*MultiLogRegr1stWeek!$B$18+MultiLogRegr1stWeek!$B$19*14+MultiLogRegr1stWeek!$B$20*0))</f>
        <v>139.15891816383908</v>
      </c>
      <c r="U641">
        <v>639</v>
      </c>
      <c r="V641">
        <v>334</v>
      </c>
      <c r="W641">
        <v>160</v>
      </c>
    </row>
    <row r="642" spans="11:23" x14ac:dyDescent="0.3">
      <c r="K642">
        <v>641</v>
      </c>
      <c r="L642">
        <f t="shared" ca="1" si="11"/>
        <v>746.32464786743458</v>
      </c>
      <c r="M642">
        <f ca="1">IF(L642&lt;=0,0,10^(MultiLogRegr1stWeek!$B$17+LOG10(L642)*MultiLogRegr1stWeek!$B$18+MultiLogRegr1stWeek!$B$19*14+MultiLogRegr1stWeek!$B$20*0))</f>
        <v>341.33187658502214</v>
      </c>
      <c r="U642">
        <v>640</v>
      </c>
      <c r="V642">
        <v>353</v>
      </c>
      <c r="W642">
        <v>168</v>
      </c>
    </row>
    <row r="643" spans="11:23" x14ac:dyDescent="0.3">
      <c r="K643">
        <v>642</v>
      </c>
      <c r="L643">
        <f t="shared" ref="L643:L706" ca="1" si="12">_xlfn.NORM.INV(RAND(),$S$3,$S$2)</f>
        <v>340.70928406197658</v>
      </c>
      <c r="M643">
        <f ca="1">IF(L643&lt;=0,0,10^(MultiLogRegr1stWeek!$B$17+LOG10(L643)*MultiLogRegr1stWeek!$B$18+MultiLogRegr1stWeek!$B$19*14+MultiLogRegr1stWeek!$B$20*0))</f>
        <v>153.26460738993839</v>
      </c>
      <c r="U643">
        <v>641</v>
      </c>
      <c r="V643">
        <v>335</v>
      </c>
      <c r="W643">
        <v>160</v>
      </c>
    </row>
    <row r="644" spans="11:23" x14ac:dyDescent="0.3">
      <c r="K644">
        <v>643</v>
      </c>
      <c r="L644">
        <f t="shared" ca="1" si="12"/>
        <v>204.28495292032181</v>
      </c>
      <c r="M644">
        <f ca="1">IF(L644&lt;=0,0,10^(MultiLogRegr1stWeek!$B$17+LOG10(L644)*MultiLogRegr1stWeek!$B$18+MultiLogRegr1stWeek!$B$19*14+MultiLogRegr1stWeek!$B$20*0))</f>
        <v>90.908243921257679</v>
      </c>
      <c r="U644">
        <v>642</v>
      </c>
      <c r="V644">
        <v>340</v>
      </c>
      <c r="W644">
        <v>163</v>
      </c>
    </row>
    <row r="645" spans="11:23" x14ac:dyDescent="0.3">
      <c r="K645">
        <v>644</v>
      </c>
      <c r="L645">
        <f t="shared" ca="1" si="12"/>
        <v>464.50885840505629</v>
      </c>
      <c r="M645">
        <f ca="1">IF(L645&lt;=0,0,10^(MultiLogRegr1stWeek!$B$17+LOG10(L645)*MultiLogRegr1stWeek!$B$18+MultiLogRegr1stWeek!$B$19*14+MultiLogRegr1stWeek!$B$20*0))</f>
        <v>210.32670909067795</v>
      </c>
      <c r="U645">
        <v>643</v>
      </c>
      <c r="V645">
        <v>352</v>
      </c>
      <c r="W645">
        <v>169</v>
      </c>
    </row>
    <row r="646" spans="11:23" x14ac:dyDescent="0.3">
      <c r="K646">
        <v>645</v>
      </c>
      <c r="L646">
        <f t="shared" ca="1" si="12"/>
        <v>704.58509972252386</v>
      </c>
      <c r="M646">
        <f ca="1">IF(L646&lt;=0,0,10^(MultiLogRegr1stWeek!$B$17+LOG10(L646)*MultiLogRegr1stWeek!$B$18+MultiLogRegr1stWeek!$B$19*14+MultiLogRegr1stWeek!$B$20*0))</f>
        <v>321.85089497294291</v>
      </c>
      <c r="U646">
        <v>644</v>
      </c>
      <c r="V646">
        <v>334</v>
      </c>
      <c r="W646">
        <v>160</v>
      </c>
    </row>
    <row r="647" spans="11:23" x14ac:dyDescent="0.3">
      <c r="K647">
        <v>646</v>
      </c>
      <c r="L647">
        <f t="shared" ca="1" si="12"/>
        <v>732.30005677070869</v>
      </c>
      <c r="M647">
        <f ca="1">IF(L647&lt;=0,0,10^(MultiLogRegr1stWeek!$B$17+LOG10(L647)*MultiLogRegr1stWeek!$B$18+MultiLogRegr1stWeek!$B$19*14+MultiLogRegr1stWeek!$B$20*0))</f>
        <v>334.78358616394195</v>
      </c>
      <c r="U647">
        <v>645</v>
      </c>
      <c r="V647">
        <v>333</v>
      </c>
      <c r="W647">
        <v>161</v>
      </c>
    </row>
    <row r="648" spans="11:23" x14ac:dyDescent="0.3">
      <c r="K648">
        <v>647</v>
      </c>
      <c r="L648">
        <f t="shared" ca="1" si="12"/>
        <v>480.21381383027392</v>
      </c>
      <c r="M648">
        <f ca="1">IF(L648&lt;=0,0,10^(MultiLogRegr1stWeek!$B$17+LOG10(L648)*MultiLogRegr1stWeek!$B$18+MultiLogRegr1stWeek!$B$19*14+MultiLogRegr1stWeek!$B$20*0))</f>
        <v>217.59054169785122</v>
      </c>
      <c r="U648">
        <v>646</v>
      </c>
      <c r="V648">
        <v>336</v>
      </c>
      <c r="W648">
        <v>160</v>
      </c>
    </row>
    <row r="649" spans="11:23" x14ac:dyDescent="0.3">
      <c r="K649">
        <v>648</v>
      </c>
      <c r="L649">
        <f t="shared" ca="1" si="12"/>
        <v>-238.16679225024848</v>
      </c>
      <c r="M649">
        <f ca="1">IF(L649&lt;=0,0,10^(MultiLogRegr1stWeek!$B$17+LOG10(L649)*MultiLogRegr1stWeek!$B$18+MultiLogRegr1stWeek!$B$19*14+MultiLogRegr1stWeek!$B$20*0))</f>
        <v>0</v>
      </c>
      <c r="U649">
        <v>647</v>
      </c>
      <c r="V649">
        <v>342</v>
      </c>
      <c r="W649">
        <v>162</v>
      </c>
    </row>
    <row r="650" spans="11:23" x14ac:dyDescent="0.3">
      <c r="K650">
        <v>649</v>
      </c>
      <c r="L650">
        <f t="shared" ca="1" si="12"/>
        <v>16.493787529377812</v>
      </c>
      <c r="M650">
        <f ca="1">IF(L650&lt;=0,0,10^(MultiLogRegr1stWeek!$B$17+LOG10(L650)*MultiLogRegr1stWeek!$B$18+MultiLogRegr1stWeek!$B$19*14+MultiLogRegr1stWeek!$B$20*0))</f>
        <v>6.9599886129903581</v>
      </c>
      <c r="U650">
        <v>648</v>
      </c>
      <c r="V650">
        <v>335</v>
      </c>
      <c r="W650">
        <v>160</v>
      </c>
    </row>
    <row r="651" spans="11:23" x14ac:dyDescent="0.3">
      <c r="K651">
        <v>650</v>
      </c>
      <c r="L651">
        <f t="shared" ca="1" si="12"/>
        <v>433.68742619852276</v>
      </c>
      <c r="M651">
        <f ca="1">IF(L651&lt;=0,0,10^(MultiLogRegr1stWeek!$B$17+LOG10(L651)*MultiLogRegr1stWeek!$B$18+MultiLogRegr1stWeek!$B$19*14+MultiLogRegr1stWeek!$B$20*0))</f>
        <v>196.08646504609663</v>
      </c>
      <c r="U651">
        <v>649</v>
      </c>
      <c r="V651">
        <v>337</v>
      </c>
      <c r="W651">
        <v>161</v>
      </c>
    </row>
    <row r="652" spans="11:23" x14ac:dyDescent="0.3">
      <c r="K652">
        <v>651</v>
      </c>
      <c r="L652">
        <f t="shared" ca="1" si="12"/>
        <v>-63.575493061503551</v>
      </c>
      <c r="M652">
        <f ca="1">IF(L652&lt;=0,0,10^(MultiLogRegr1stWeek!$B$17+LOG10(L652)*MultiLogRegr1stWeek!$B$18+MultiLogRegr1stWeek!$B$19*14+MultiLogRegr1stWeek!$B$20*0))</f>
        <v>0</v>
      </c>
      <c r="U652">
        <v>650</v>
      </c>
      <c r="V652">
        <v>336</v>
      </c>
      <c r="W652">
        <v>163</v>
      </c>
    </row>
    <row r="653" spans="11:23" x14ac:dyDescent="0.3">
      <c r="K653">
        <v>652</v>
      </c>
      <c r="L653">
        <f t="shared" ca="1" si="12"/>
        <v>572.9766579308922</v>
      </c>
      <c r="M653">
        <f ca="1">IF(L653&lt;=0,0,10^(MultiLogRegr1stWeek!$B$17+LOG10(L653)*MultiLogRegr1stWeek!$B$18+MultiLogRegr1stWeek!$B$19*14+MultiLogRegr1stWeek!$B$20*0))</f>
        <v>260.59254779022638</v>
      </c>
      <c r="U653">
        <v>651</v>
      </c>
      <c r="V653">
        <v>329</v>
      </c>
      <c r="W653">
        <v>159</v>
      </c>
    </row>
    <row r="654" spans="11:23" x14ac:dyDescent="0.3">
      <c r="K654">
        <v>653</v>
      </c>
      <c r="L654">
        <f t="shared" ca="1" si="12"/>
        <v>-39.715526545378282</v>
      </c>
      <c r="M654">
        <f ca="1">IF(L654&lt;=0,0,10^(MultiLogRegr1stWeek!$B$17+LOG10(L654)*MultiLogRegr1stWeek!$B$18+MultiLogRegr1stWeek!$B$19*14+MultiLogRegr1stWeek!$B$20*0))</f>
        <v>0</v>
      </c>
      <c r="U654">
        <v>652</v>
      </c>
      <c r="V654">
        <v>350</v>
      </c>
      <c r="W654">
        <v>167</v>
      </c>
    </row>
    <row r="655" spans="11:23" x14ac:dyDescent="0.3">
      <c r="K655">
        <v>654</v>
      </c>
      <c r="L655">
        <f t="shared" ca="1" si="12"/>
        <v>-187.40999044927935</v>
      </c>
      <c r="M655">
        <f ca="1">IF(L655&lt;=0,0,10^(MultiLogRegr1stWeek!$B$17+LOG10(L655)*MultiLogRegr1stWeek!$B$18+MultiLogRegr1stWeek!$B$19*14+MultiLogRegr1stWeek!$B$20*0))</f>
        <v>0</v>
      </c>
      <c r="U655">
        <v>653</v>
      </c>
      <c r="V655">
        <v>335</v>
      </c>
      <c r="W655">
        <v>160</v>
      </c>
    </row>
    <row r="656" spans="11:23" x14ac:dyDescent="0.3">
      <c r="K656">
        <v>655</v>
      </c>
      <c r="L656">
        <f t="shared" ca="1" si="12"/>
        <v>114.65193141650391</v>
      </c>
      <c r="M656">
        <f ca="1">IF(L656&lt;=0,0,10^(MultiLogRegr1stWeek!$B$17+LOG10(L656)*MultiLogRegr1stWeek!$B$18+MultiLogRegr1stWeek!$B$19*14+MultiLogRegr1stWeek!$B$20*0))</f>
        <v>50.402379528528812</v>
      </c>
      <c r="U656">
        <v>654</v>
      </c>
      <c r="V656">
        <v>330</v>
      </c>
      <c r="W656">
        <v>159</v>
      </c>
    </row>
    <row r="657" spans="11:23" x14ac:dyDescent="0.3">
      <c r="K657">
        <v>656</v>
      </c>
      <c r="L657">
        <f t="shared" ca="1" si="12"/>
        <v>525.91582448913596</v>
      </c>
      <c r="M657">
        <f ca="1">IF(L657&lt;=0,0,10^(MultiLogRegr1stWeek!$B$17+LOG10(L657)*MultiLogRegr1stWeek!$B$18+MultiLogRegr1stWeek!$B$19*14+MultiLogRegr1stWeek!$B$20*0))</f>
        <v>238.7565656842192</v>
      </c>
      <c r="U657">
        <v>655</v>
      </c>
      <c r="V657">
        <v>340</v>
      </c>
      <c r="W657">
        <v>163</v>
      </c>
    </row>
    <row r="658" spans="11:23" x14ac:dyDescent="0.3">
      <c r="K658">
        <v>657</v>
      </c>
      <c r="L658">
        <f t="shared" ca="1" si="12"/>
        <v>509.42239115363998</v>
      </c>
      <c r="M658">
        <f ca="1">IF(L658&lt;=0,0,10^(MultiLogRegr1stWeek!$B$17+LOG10(L658)*MultiLogRegr1stWeek!$B$18+MultiLogRegr1stWeek!$B$19*14+MultiLogRegr1stWeek!$B$20*0))</f>
        <v>231.11327811179868</v>
      </c>
      <c r="U658">
        <v>656</v>
      </c>
      <c r="V658">
        <v>337</v>
      </c>
      <c r="W658">
        <v>162</v>
      </c>
    </row>
    <row r="659" spans="11:23" x14ac:dyDescent="0.3">
      <c r="K659">
        <v>658</v>
      </c>
      <c r="L659">
        <f t="shared" ca="1" si="12"/>
        <v>-23.638105774450196</v>
      </c>
      <c r="M659">
        <f ca="1">IF(L659&lt;=0,0,10^(MultiLogRegr1stWeek!$B$17+LOG10(L659)*MultiLogRegr1stWeek!$B$18+MultiLogRegr1stWeek!$B$19*14+MultiLogRegr1stWeek!$B$20*0))</f>
        <v>0</v>
      </c>
      <c r="U659">
        <v>657</v>
      </c>
      <c r="V659">
        <v>336</v>
      </c>
      <c r="W659">
        <v>162</v>
      </c>
    </row>
    <row r="660" spans="11:23" x14ac:dyDescent="0.3">
      <c r="K660">
        <v>659</v>
      </c>
      <c r="L660">
        <f t="shared" ca="1" si="12"/>
        <v>369.06810694096441</v>
      </c>
      <c r="M660">
        <f ca="1">IF(L660&lt;=0,0,10^(MultiLogRegr1stWeek!$B$17+LOG10(L660)*MultiLogRegr1stWeek!$B$18+MultiLogRegr1stWeek!$B$19*14+MultiLogRegr1stWeek!$B$20*0))</f>
        <v>166.30206856679908</v>
      </c>
      <c r="U660">
        <v>658</v>
      </c>
      <c r="V660">
        <v>318</v>
      </c>
      <c r="W660">
        <v>156</v>
      </c>
    </row>
    <row r="661" spans="11:23" x14ac:dyDescent="0.3">
      <c r="K661">
        <v>660</v>
      </c>
      <c r="L661">
        <f t="shared" ca="1" si="12"/>
        <v>597.43422616646455</v>
      </c>
      <c r="M661">
        <f ca="1">IF(L661&lt;=0,0,10^(MultiLogRegr1stWeek!$B$17+LOG10(L661)*MultiLogRegr1stWeek!$B$18+MultiLogRegr1stWeek!$B$19*14+MultiLogRegr1stWeek!$B$20*0))</f>
        <v>271.95590666665106</v>
      </c>
      <c r="U661">
        <v>659</v>
      </c>
      <c r="V661">
        <v>355</v>
      </c>
      <c r="W661">
        <v>169</v>
      </c>
    </row>
    <row r="662" spans="11:23" x14ac:dyDescent="0.3">
      <c r="K662">
        <v>661</v>
      </c>
      <c r="L662">
        <f t="shared" ca="1" si="12"/>
        <v>198.08307747271235</v>
      </c>
      <c r="M662">
        <f ca="1">IF(L662&lt;=0,0,10^(MultiLogRegr1stWeek!$B$17+LOG10(L662)*MultiLogRegr1stWeek!$B$18+MultiLogRegr1stWeek!$B$19*14+MultiLogRegr1stWeek!$B$20*0))</f>
        <v>88.090998586889683</v>
      </c>
      <c r="U662">
        <v>660</v>
      </c>
      <c r="V662">
        <v>322</v>
      </c>
      <c r="W662">
        <v>155</v>
      </c>
    </row>
    <row r="663" spans="11:23" x14ac:dyDescent="0.3">
      <c r="K663">
        <v>662</v>
      </c>
      <c r="L663">
        <f t="shared" ca="1" si="12"/>
        <v>763.95844995625328</v>
      </c>
      <c r="M663">
        <f ca="1">IF(L663&lt;=0,0,10^(MultiLogRegr1stWeek!$B$17+LOG10(L663)*MultiLogRegr1stWeek!$B$18+MultiLogRegr1stWeek!$B$19*14+MultiLogRegr1stWeek!$B$20*0))</f>
        <v>349.5690441266978</v>
      </c>
      <c r="U663">
        <v>661</v>
      </c>
      <c r="V663">
        <v>339</v>
      </c>
      <c r="W663">
        <v>162</v>
      </c>
    </row>
    <row r="664" spans="11:23" x14ac:dyDescent="0.3">
      <c r="K664">
        <v>663</v>
      </c>
      <c r="L664">
        <f t="shared" ca="1" si="12"/>
        <v>297.04736584328828</v>
      </c>
      <c r="M664">
        <f ca="1">IF(L664&lt;=0,0,10^(MultiLogRegr1stWeek!$B$17+LOG10(L664)*MultiLogRegr1stWeek!$B$18+MultiLogRegr1stWeek!$B$19*14+MultiLogRegr1stWeek!$B$20*0))</f>
        <v>133.23733637781871</v>
      </c>
      <c r="U664">
        <v>662</v>
      </c>
      <c r="V664">
        <v>353</v>
      </c>
      <c r="W664">
        <v>168</v>
      </c>
    </row>
    <row r="665" spans="11:23" x14ac:dyDescent="0.3">
      <c r="K665">
        <v>664</v>
      </c>
      <c r="L665">
        <f t="shared" ca="1" si="12"/>
        <v>401.43338655715917</v>
      </c>
      <c r="M665">
        <f ca="1">IF(L665&lt;=0,0,10^(MultiLogRegr1stWeek!$B$17+LOG10(L665)*MultiLogRegr1stWeek!$B$18+MultiLogRegr1stWeek!$B$19*14+MultiLogRegr1stWeek!$B$20*0))</f>
        <v>181.20723319733017</v>
      </c>
      <c r="U665">
        <v>663</v>
      </c>
      <c r="V665">
        <v>349</v>
      </c>
      <c r="W665">
        <v>166</v>
      </c>
    </row>
    <row r="666" spans="11:23" x14ac:dyDescent="0.3">
      <c r="K666">
        <v>665</v>
      </c>
      <c r="L666">
        <f t="shared" ca="1" si="12"/>
        <v>419.33865649995766</v>
      </c>
      <c r="M666">
        <f ca="1">IF(L666&lt;=0,0,10^(MultiLogRegr1stWeek!$B$17+LOG10(L666)*MultiLogRegr1stWeek!$B$18+MultiLogRegr1stWeek!$B$19*14+MultiLogRegr1stWeek!$B$20*0))</f>
        <v>189.46418689440455</v>
      </c>
      <c r="U666">
        <v>664</v>
      </c>
      <c r="V666">
        <v>331</v>
      </c>
      <c r="W666">
        <v>160</v>
      </c>
    </row>
    <row r="667" spans="11:23" x14ac:dyDescent="0.3">
      <c r="K667">
        <v>666</v>
      </c>
      <c r="L667">
        <f t="shared" ca="1" si="12"/>
        <v>649.5615236130177</v>
      </c>
      <c r="M667">
        <f ca="1">IF(L667&lt;=0,0,10^(MultiLogRegr1stWeek!$B$17+LOG10(L667)*MultiLogRegr1stWeek!$B$18+MultiLogRegr1stWeek!$B$19*14+MultiLogRegr1stWeek!$B$20*0))</f>
        <v>296.20737098363622</v>
      </c>
      <c r="U667">
        <v>665</v>
      </c>
      <c r="V667">
        <v>351</v>
      </c>
      <c r="W667">
        <v>167</v>
      </c>
    </row>
    <row r="668" spans="11:23" x14ac:dyDescent="0.3">
      <c r="K668">
        <v>667</v>
      </c>
      <c r="L668">
        <f t="shared" ca="1" si="12"/>
        <v>265.07671442013992</v>
      </c>
      <c r="M668">
        <f ca="1">IF(L668&lt;=0,0,10^(MultiLogRegr1stWeek!$B$17+LOG10(L668)*MultiLogRegr1stWeek!$B$18+MultiLogRegr1stWeek!$B$19*14+MultiLogRegr1stWeek!$B$20*0))</f>
        <v>118.61169397369747</v>
      </c>
      <c r="U668">
        <v>666</v>
      </c>
      <c r="V668">
        <v>346</v>
      </c>
      <c r="W668">
        <v>165</v>
      </c>
    </row>
    <row r="669" spans="11:23" x14ac:dyDescent="0.3">
      <c r="K669">
        <v>668</v>
      </c>
      <c r="L669">
        <f t="shared" ca="1" si="12"/>
        <v>-118.21275546562305</v>
      </c>
      <c r="M669">
        <f ca="1">IF(L669&lt;=0,0,10^(MultiLogRegr1stWeek!$B$17+LOG10(L669)*MultiLogRegr1stWeek!$B$18+MultiLogRegr1stWeek!$B$19*14+MultiLogRegr1stWeek!$B$20*0))</f>
        <v>0</v>
      </c>
      <c r="U669">
        <v>667</v>
      </c>
      <c r="V669">
        <v>332</v>
      </c>
      <c r="W669">
        <v>160</v>
      </c>
    </row>
    <row r="670" spans="11:23" x14ac:dyDescent="0.3">
      <c r="K670">
        <v>669</v>
      </c>
      <c r="L670">
        <f t="shared" ca="1" si="12"/>
        <v>-383.10834578777894</v>
      </c>
      <c r="M670">
        <f ca="1">IF(L670&lt;=0,0,10^(MultiLogRegr1stWeek!$B$17+LOG10(L670)*MultiLogRegr1stWeek!$B$18+MultiLogRegr1stWeek!$B$19*14+MultiLogRegr1stWeek!$B$20*0))</f>
        <v>0</v>
      </c>
      <c r="U670">
        <v>668</v>
      </c>
      <c r="V670">
        <v>343</v>
      </c>
      <c r="W670">
        <v>164</v>
      </c>
    </row>
    <row r="671" spans="11:23" x14ac:dyDescent="0.3">
      <c r="K671">
        <v>670</v>
      </c>
      <c r="L671">
        <f t="shared" ca="1" si="12"/>
        <v>258.00856706700017</v>
      </c>
      <c r="M671">
        <f ca="1">IF(L671&lt;=0,0,10^(MultiLogRegr1stWeek!$B$17+LOG10(L671)*MultiLogRegr1stWeek!$B$18+MultiLogRegr1stWeek!$B$19*14+MultiLogRegr1stWeek!$B$20*0))</f>
        <v>115.38309926523208</v>
      </c>
      <c r="U671">
        <v>669</v>
      </c>
      <c r="V671">
        <v>325</v>
      </c>
      <c r="W671">
        <v>157</v>
      </c>
    </row>
    <row r="672" spans="11:23" x14ac:dyDescent="0.3">
      <c r="K672">
        <v>671</v>
      </c>
      <c r="L672">
        <f t="shared" ca="1" si="12"/>
        <v>141.75476508426354</v>
      </c>
      <c r="M672">
        <f ca="1">IF(L672&lt;=0,0,10^(MultiLogRegr1stWeek!$B$17+LOG10(L672)*MultiLogRegr1stWeek!$B$18+MultiLogRegr1stWeek!$B$19*14+MultiLogRegr1stWeek!$B$20*0))</f>
        <v>62.596977893497694</v>
      </c>
      <c r="U672">
        <v>670</v>
      </c>
      <c r="V672">
        <v>339</v>
      </c>
      <c r="W672">
        <v>161</v>
      </c>
    </row>
    <row r="673" spans="11:23" x14ac:dyDescent="0.3">
      <c r="K673">
        <v>672</v>
      </c>
      <c r="L673">
        <f t="shared" ca="1" si="12"/>
        <v>220.73318885963306</v>
      </c>
      <c r="M673">
        <f ca="1">IF(L673&lt;=0,0,10^(MultiLogRegr1stWeek!$B$17+LOG10(L673)*MultiLogRegr1stWeek!$B$18+MultiLogRegr1stWeek!$B$19*14+MultiLogRegr1stWeek!$B$20*0))</f>
        <v>98.388583404582576</v>
      </c>
      <c r="U673">
        <v>671</v>
      </c>
      <c r="V673">
        <v>341</v>
      </c>
      <c r="W673">
        <v>162</v>
      </c>
    </row>
    <row r="674" spans="11:23" x14ac:dyDescent="0.3">
      <c r="K674">
        <v>673</v>
      </c>
      <c r="L674">
        <f t="shared" ca="1" si="12"/>
        <v>163.08043062467021</v>
      </c>
      <c r="M674">
        <f ca="1">IF(L674&lt;=0,0,10^(MultiLogRegr1stWeek!$B$17+LOG10(L674)*MultiLogRegr1stWeek!$B$18+MultiLogRegr1stWeek!$B$19*14+MultiLogRegr1stWeek!$B$20*0))</f>
        <v>72.227535913470405</v>
      </c>
      <c r="U674">
        <v>672</v>
      </c>
      <c r="V674">
        <v>355</v>
      </c>
      <c r="W674">
        <v>169</v>
      </c>
    </row>
    <row r="675" spans="11:23" x14ac:dyDescent="0.3">
      <c r="K675">
        <v>674</v>
      </c>
      <c r="L675">
        <f t="shared" ca="1" si="12"/>
        <v>217.9368138072623</v>
      </c>
      <c r="M675">
        <f ca="1">IF(L675&lt;=0,0,10^(MultiLogRegr1stWeek!$B$17+LOG10(L675)*MultiLogRegr1stWeek!$B$18+MultiLogRegr1stWeek!$B$19*14+MultiLogRegr1stWeek!$B$20*0))</f>
        <v>97.115990425324412</v>
      </c>
      <c r="U675">
        <v>673</v>
      </c>
      <c r="V675">
        <v>337</v>
      </c>
      <c r="W675">
        <v>160</v>
      </c>
    </row>
    <row r="676" spans="11:23" x14ac:dyDescent="0.3">
      <c r="K676">
        <v>675</v>
      </c>
      <c r="L676">
        <f t="shared" ca="1" si="12"/>
        <v>55.383388403242407</v>
      </c>
      <c r="M676">
        <f ca="1">IF(L676&lt;=0,0,10^(MultiLogRegr1stWeek!$B$17+LOG10(L676)*MultiLogRegr1stWeek!$B$18+MultiLogRegr1stWeek!$B$19*14+MultiLogRegr1stWeek!$B$20*0))</f>
        <v>23.975975048409801</v>
      </c>
      <c r="U676">
        <v>674</v>
      </c>
      <c r="V676">
        <v>327</v>
      </c>
      <c r="W676">
        <v>157</v>
      </c>
    </row>
    <row r="677" spans="11:23" x14ac:dyDescent="0.3">
      <c r="K677">
        <v>676</v>
      </c>
      <c r="L677">
        <f t="shared" ca="1" si="12"/>
        <v>777.05101860660909</v>
      </c>
      <c r="M677">
        <f ca="1">IF(L677&lt;=0,0,10^(MultiLogRegr1stWeek!$B$17+LOG10(L677)*MultiLogRegr1stWeek!$B$18+MultiLogRegr1stWeek!$B$19*14+MultiLogRegr1stWeek!$B$20*0))</f>
        <v>355.68749672093355</v>
      </c>
      <c r="U677">
        <v>675</v>
      </c>
      <c r="V677">
        <v>332</v>
      </c>
      <c r="W677">
        <v>159</v>
      </c>
    </row>
    <row r="678" spans="11:23" x14ac:dyDescent="0.3">
      <c r="K678">
        <v>677</v>
      </c>
      <c r="L678">
        <f t="shared" ca="1" si="12"/>
        <v>58.312074609020613</v>
      </c>
      <c r="M678">
        <f ca="1">IF(L678&lt;=0,0,10^(MultiLogRegr1stWeek!$B$17+LOG10(L678)*MultiLogRegr1stWeek!$B$18+MultiLogRegr1stWeek!$B$19*14+MultiLogRegr1stWeek!$B$20*0))</f>
        <v>25.271313633968081</v>
      </c>
      <c r="U678">
        <v>676</v>
      </c>
      <c r="V678">
        <v>353</v>
      </c>
      <c r="W678">
        <v>169</v>
      </c>
    </row>
    <row r="679" spans="11:23" x14ac:dyDescent="0.3">
      <c r="K679">
        <v>678</v>
      </c>
      <c r="L679">
        <f t="shared" ca="1" si="12"/>
        <v>221.57733453932764</v>
      </c>
      <c r="M679">
        <f ca="1">IF(L679&lt;=0,0,10^(MultiLogRegr1stWeek!$B$17+LOG10(L679)*MultiLogRegr1stWeek!$B$18+MultiLogRegr1stWeek!$B$19*14+MultiLogRegr1stWeek!$B$20*0))</f>
        <v>98.772809941355376</v>
      </c>
      <c r="U679">
        <v>677</v>
      </c>
      <c r="V679">
        <v>338</v>
      </c>
      <c r="W679">
        <v>162</v>
      </c>
    </row>
    <row r="680" spans="11:23" x14ac:dyDescent="0.3">
      <c r="K680">
        <v>679</v>
      </c>
      <c r="L680">
        <f t="shared" ca="1" si="12"/>
        <v>314.77280134664204</v>
      </c>
      <c r="M680">
        <f ca="1">IF(L680&lt;=0,0,10^(MultiLogRegr1stWeek!$B$17+LOG10(L680)*MultiLogRegr1stWeek!$B$18+MultiLogRegr1stWeek!$B$19*14+MultiLogRegr1stWeek!$B$20*0))</f>
        <v>141.36079334832709</v>
      </c>
      <c r="U680">
        <v>678</v>
      </c>
      <c r="V680">
        <v>341</v>
      </c>
      <c r="W680">
        <v>163</v>
      </c>
    </row>
    <row r="681" spans="11:23" x14ac:dyDescent="0.3">
      <c r="K681">
        <v>680</v>
      </c>
      <c r="L681">
        <f t="shared" ca="1" si="12"/>
        <v>-142.62816762034879</v>
      </c>
      <c r="M681">
        <f ca="1">IF(L681&lt;=0,0,10^(MultiLogRegr1stWeek!$B$17+LOG10(L681)*MultiLogRegr1stWeek!$B$18+MultiLogRegr1stWeek!$B$19*14+MultiLogRegr1stWeek!$B$20*0))</f>
        <v>0</v>
      </c>
      <c r="U681">
        <v>679</v>
      </c>
      <c r="V681">
        <v>323</v>
      </c>
      <c r="W681">
        <v>156</v>
      </c>
    </row>
    <row r="682" spans="11:23" x14ac:dyDescent="0.3">
      <c r="K682">
        <v>681</v>
      </c>
      <c r="L682">
        <f t="shared" ca="1" si="12"/>
        <v>358.73481053884797</v>
      </c>
      <c r="M682">
        <f ca="1">IF(L682&lt;=0,0,10^(MultiLogRegr1stWeek!$B$17+LOG10(L682)*MultiLogRegr1stWeek!$B$18+MultiLogRegr1stWeek!$B$19*14+MultiLogRegr1stWeek!$B$20*0))</f>
        <v>161.54898119022519</v>
      </c>
      <c r="U682">
        <v>680</v>
      </c>
      <c r="V682">
        <v>322</v>
      </c>
      <c r="W682">
        <v>155</v>
      </c>
    </row>
    <row r="683" spans="11:23" x14ac:dyDescent="0.3">
      <c r="K683">
        <v>682</v>
      </c>
      <c r="L683">
        <f t="shared" ca="1" si="12"/>
        <v>102.39822710297389</v>
      </c>
      <c r="M683">
        <f ca="1">IF(L683&lt;=0,0,10^(MultiLogRegr1stWeek!$B$17+LOG10(L683)*MultiLogRegr1stWeek!$B$18+MultiLogRegr1stWeek!$B$19*14+MultiLogRegr1stWeek!$B$20*0))</f>
        <v>44.90818541930971</v>
      </c>
      <c r="U683">
        <v>681</v>
      </c>
      <c r="V683">
        <v>345</v>
      </c>
      <c r="W683">
        <v>166</v>
      </c>
    </row>
    <row r="684" spans="11:23" x14ac:dyDescent="0.3">
      <c r="K684">
        <v>683</v>
      </c>
      <c r="L684">
        <f t="shared" ca="1" si="12"/>
        <v>401.43002443140659</v>
      </c>
      <c r="M684">
        <f ca="1">IF(L684&lt;=0,0,10^(MultiLogRegr1stWeek!$B$17+LOG10(L684)*MultiLogRegr1stWeek!$B$18+MultiLogRegr1stWeek!$B$19*14+MultiLogRegr1stWeek!$B$20*0))</f>
        <v>181.20568348415586</v>
      </c>
      <c r="U684">
        <v>682</v>
      </c>
      <c r="V684">
        <v>327</v>
      </c>
      <c r="W684">
        <v>157</v>
      </c>
    </row>
    <row r="685" spans="11:23" x14ac:dyDescent="0.3">
      <c r="K685">
        <v>684</v>
      </c>
      <c r="L685">
        <f t="shared" ca="1" si="12"/>
        <v>472.48331058168407</v>
      </c>
      <c r="M685">
        <f ca="1">IF(L685&lt;=0,0,10^(MultiLogRegr1stWeek!$B$17+LOG10(L685)*MultiLogRegr1stWeek!$B$18+MultiLogRegr1stWeek!$B$19*14+MultiLogRegr1stWeek!$B$20*0))</f>
        <v>214.01440354428624</v>
      </c>
      <c r="U685">
        <v>683</v>
      </c>
      <c r="V685">
        <v>333</v>
      </c>
      <c r="W685">
        <v>161</v>
      </c>
    </row>
    <row r="686" spans="11:23" x14ac:dyDescent="0.3">
      <c r="K686">
        <v>685</v>
      </c>
      <c r="L686">
        <f t="shared" ca="1" si="12"/>
        <v>291.31998929626047</v>
      </c>
      <c r="M686">
        <f ca="1">IF(L686&lt;=0,0,10^(MultiLogRegr1stWeek!$B$17+LOG10(L686)*MultiLogRegr1stWeek!$B$18+MultiLogRegr1stWeek!$B$19*14+MultiLogRegr1stWeek!$B$20*0))</f>
        <v>130.61467415336159</v>
      </c>
      <c r="U686">
        <v>684</v>
      </c>
      <c r="V686">
        <v>333</v>
      </c>
      <c r="W686">
        <v>161</v>
      </c>
    </row>
    <row r="687" spans="11:23" x14ac:dyDescent="0.3">
      <c r="K687">
        <v>686</v>
      </c>
      <c r="L687">
        <f t="shared" ca="1" si="12"/>
        <v>378.15333866656874</v>
      </c>
      <c r="M687">
        <f ca="1">IF(L687&lt;=0,0,10^(MultiLogRegr1stWeek!$B$17+LOG10(L687)*MultiLogRegr1stWeek!$B$18+MultiLogRegr1stWeek!$B$19*14+MultiLogRegr1stWeek!$B$20*0))</f>
        <v>170.48339891782288</v>
      </c>
      <c r="U687">
        <v>685</v>
      </c>
      <c r="V687">
        <v>347</v>
      </c>
      <c r="W687">
        <v>165</v>
      </c>
    </row>
    <row r="688" spans="11:23" x14ac:dyDescent="0.3">
      <c r="K688">
        <v>687</v>
      </c>
      <c r="L688">
        <f t="shared" ca="1" si="12"/>
        <v>419.86551172115043</v>
      </c>
      <c r="M688">
        <f ca="1">IF(L688&lt;=0,0,10^(MultiLogRegr1stWeek!$B$17+LOG10(L688)*MultiLogRegr1stWeek!$B$18+MultiLogRegr1stWeek!$B$19*14+MultiLogRegr1stWeek!$B$20*0))</f>
        <v>189.70725873420881</v>
      </c>
      <c r="U688">
        <v>686</v>
      </c>
      <c r="V688">
        <v>336</v>
      </c>
      <c r="W688">
        <v>161</v>
      </c>
    </row>
    <row r="689" spans="11:23" x14ac:dyDescent="0.3">
      <c r="K689">
        <v>688</v>
      </c>
      <c r="L689">
        <f t="shared" ca="1" si="12"/>
        <v>720.42279154226389</v>
      </c>
      <c r="M689">
        <f ca="1">IF(L689&lt;=0,0,10^(MultiLogRegr1stWeek!$B$17+LOG10(L689)*MultiLogRegr1stWeek!$B$18+MultiLogRegr1stWeek!$B$19*14+MultiLogRegr1stWeek!$B$20*0))</f>
        <v>329.23998293031906</v>
      </c>
      <c r="U689">
        <v>687</v>
      </c>
      <c r="V689">
        <v>338</v>
      </c>
      <c r="W689">
        <v>162</v>
      </c>
    </row>
    <row r="690" spans="11:23" x14ac:dyDescent="0.3">
      <c r="K690">
        <v>689</v>
      </c>
      <c r="L690">
        <f t="shared" ca="1" si="12"/>
        <v>452.75090969822645</v>
      </c>
      <c r="M690">
        <f ca="1">IF(L690&lt;=0,0,10^(MultiLogRegr1stWeek!$B$17+LOG10(L690)*MultiLogRegr1stWeek!$B$18+MultiLogRegr1stWeek!$B$19*14+MultiLogRegr1stWeek!$B$20*0))</f>
        <v>204.89182481001433</v>
      </c>
      <c r="U690">
        <v>688</v>
      </c>
      <c r="V690">
        <v>343</v>
      </c>
      <c r="W690">
        <v>162</v>
      </c>
    </row>
    <row r="691" spans="11:23" x14ac:dyDescent="0.3">
      <c r="K691">
        <v>690</v>
      </c>
      <c r="L691">
        <f t="shared" ca="1" si="12"/>
        <v>169.74464691078657</v>
      </c>
      <c r="M691">
        <f ca="1">IF(L691&lt;=0,0,10^(MultiLogRegr1stWeek!$B$17+LOG10(L691)*MultiLogRegr1stWeek!$B$18+MultiLogRegr1stWeek!$B$19*14+MultiLogRegr1stWeek!$B$20*0))</f>
        <v>75.242695449973198</v>
      </c>
      <c r="U691">
        <v>689</v>
      </c>
      <c r="V691">
        <v>324</v>
      </c>
      <c r="W691">
        <v>157</v>
      </c>
    </row>
    <row r="692" spans="11:23" x14ac:dyDescent="0.3">
      <c r="K692">
        <v>691</v>
      </c>
      <c r="L692">
        <f t="shared" ca="1" si="12"/>
        <v>-148.52037168399676</v>
      </c>
      <c r="M692">
        <f ca="1">IF(L692&lt;=0,0,10^(MultiLogRegr1stWeek!$B$17+LOG10(L692)*MultiLogRegr1stWeek!$B$18+MultiLogRegr1stWeek!$B$19*14+MultiLogRegr1stWeek!$B$20*0))</f>
        <v>0</v>
      </c>
      <c r="U692">
        <v>690</v>
      </c>
      <c r="V692">
        <v>324</v>
      </c>
      <c r="W692">
        <v>156</v>
      </c>
    </row>
    <row r="693" spans="11:23" x14ac:dyDescent="0.3">
      <c r="K693">
        <v>692</v>
      </c>
      <c r="L693">
        <f t="shared" ca="1" si="12"/>
        <v>179.73443637899274</v>
      </c>
      <c r="M693">
        <f ca="1">IF(L693&lt;=0,0,10^(MultiLogRegr1stWeek!$B$17+LOG10(L693)*MultiLogRegr1stWeek!$B$18+MultiLogRegr1stWeek!$B$19*14+MultiLogRegr1stWeek!$B$20*0))</f>
        <v>79.76713414207704</v>
      </c>
      <c r="U693">
        <v>691</v>
      </c>
      <c r="V693">
        <v>341</v>
      </c>
      <c r="W693">
        <v>163</v>
      </c>
    </row>
    <row r="694" spans="11:23" x14ac:dyDescent="0.3">
      <c r="K694">
        <v>693</v>
      </c>
      <c r="L694">
        <f t="shared" ca="1" si="12"/>
        <v>372.18280652144796</v>
      </c>
      <c r="M694">
        <f ca="1">IF(L694&lt;=0,0,10^(MultiLogRegr1stWeek!$B$17+LOG10(L694)*MultiLogRegr1stWeek!$B$18+MultiLogRegr1stWeek!$B$19*14+MultiLogRegr1stWeek!$B$20*0))</f>
        <v>167.73531628454981</v>
      </c>
      <c r="U694">
        <v>692</v>
      </c>
      <c r="V694">
        <v>331</v>
      </c>
      <c r="W694">
        <v>159</v>
      </c>
    </row>
    <row r="695" spans="11:23" x14ac:dyDescent="0.3">
      <c r="K695">
        <v>694</v>
      </c>
      <c r="L695">
        <f t="shared" ca="1" si="12"/>
        <v>352.0178886914469</v>
      </c>
      <c r="M695">
        <f ca="1">IF(L695&lt;=0,0,10^(MultiLogRegr1stWeek!$B$17+LOG10(L695)*MultiLogRegr1stWeek!$B$18+MultiLogRegr1stWeek!$B$19*14+MultiLogRegr1stWeek!$B$20*0))</f>
        <v>158.460891024559</v>
      </c>
      <c r="U695">
        <v>693</v>
      </c>
      <c r="V695">
        <v>346</v>
      </c>
      <c r="W695">
        <v>165</v>
      </c>
    </row>
    <row r="696" spans="11:23" x14ac:dyDescent="0.3">
      <c r="K696">
        <v>695</v>
      </c>
      <c r="L696">
        <f t="shared" ca="1" si="12"/>
        <v>91.970136490694074</v>
      </c>
      <c r="M696">
        <f ca="1">IF(L696&lt;=0,0,10^(MultiLogRegr1stWeek!$B$17+LOG10(L696)*MultiLogRegr1stWeek!$B$18+MultiLogRegr1stWeek!$B$19*14+MultiLogRegr1stWeek!$B$20*0))</f>
        <v>40.243421777239988</v>
      </c>
      <c r="U696">
        <v>694</v>
      </c>
      <c r="V696">
        <v>352</v>
      </c>
      <c r="W696">
        <v>168</v>
      </c>
    </row>
    <row r="697" spans="11:23" x14ac:dyDescent="0.3">
      <c r="K697">
        <v>696</v>
      </c>
      <c r="L697">
        <f t="shared" ca="1" si="12"/>
        <v>563.03055837060174</v>
      </c>
      <c r="M697">
        <f ca="1">IF(L697&lt;=0,0,10^(MultiLogRegr1stWeek!$B$17+LOG10(L697)*MultiLogRegr1stWeek!$B$18+MultiLogRegr1stWeek!$B$19*14+MultiLogRegr1stWeek!$B$20*0))</f>
        <v>255.97434312707171</v>
      </c>
      <c r="U697">
        <v>695</v>
      </c>
      <c r="V697">
        <v>330</v>
      </c>
      <c r="W697">
        <v>158</v>
      </c>
    </row>
    <row r="698" spans="11:23" x14ac:dyDescent="0.3">
      <c r="K698">
        <v>697</v>
      </c>
      <c r="L698">
        <f t="shared" ca="1" si="12"/>
        <v>506.50154278647955</v>
      </c>
      <c r="M698">
        <f ca="1">IF(L698&lt;=0,0,10^(MultiLogRegr1stWeek!$B$17+LOG10(L698)*MultiLogRegr1stWeek!$B$18+MultiLogRegr1stWeek!$B$19*14+MultiLogRegr1stWeek!$B$20*0))</f>
        <v>229.76025595656407</v>
      </c>
      <c r="U698">
        <v>696</v>
      </c>
      <c r="V698">
        <v>334</v>
      </c>
      <c r="W698">
        <v>161</v>
      </c>
    </row>
    <row r="699" spans="11:23" x14ac:dyDescent="0.3">
      <c r="K699">
        <v>698</v>
      </c>
      <c r="L699">
        <f t="shared" ca="1" si="12"/>
        <v>756.48760425173566</v>
      </c>
      <c r="M699">
        <f ca="1">IF(L699&lt;=0,0,10^(MultiLogRegr1stWeek!$B$17+LOG10(L699)*MultiLogRegr1stWeek!$B$18+MultiLogRegr1stWeek!$B$19*14+MultiLogRegr1stWeek!$B$20*0))</f>
        <v>346.07873914022366</v>
      </c>
      <c r="U699">
        <v>697</v>
      </c>
      <c r="V699">
        <v>348</v>
      </c>
      <c r="W699">
        <v>166</v>
      </c>
    </row>
    <row r="700" spans="11:23" x14ac:dyDescent="0.3">
      <c r="K700">
        <v>699</v>
      </c>
      <c r="L700">
        <f t="shared" ca="1" si="12"/>
        <v>359.87592058045584</v>
      </c>
      <c r="M700">
        <f ca="1">IF(L700&lt;=0,0,10^(MultiLogRegr1stWeek!$B$17+LOG10(L700)*MultiLogRegr1stWeek!$B$18+MultiLogRegr1stWeek!$B$19*14+MultiLogRegr1stWeek!$B$20*0))</f>
        <v>162.07372602215037</v>
      </c>
      <c r="U700">
        <v>698</v>
      </c>
      <c r="V700">
        <v>350</v>
      </c>
      <c r="W700">
        <v>165</v>
      </c>
    </row>
    <row r="701" spans="11:23" x14ac:dyDescent="0.3">
      <c r="K701">
        <v>700</v>
      </c>
      <c r="L701">
        <f t="shared" ca="1" si="12"/>
        <v>291.07488154855457</v>
      </c>
      <c r="M701">
        <f ca="1">IF(L701&lt;=0,0,10^(MultiLogRegr1stWeek!$B$17+LOG10(L701)*MultiLogRegr1stWeek!$B$18+MultiLogRegr1stWeek!$B$19*14+MultiLogRegr1stWeek!$B$20*0))</f>
        <v>130.50245932840903</v>
      </c>
      <c r="U701">
        <v>699</v>
      </c>
      <c r="V701">
        <v>355</v>
      </c>
      <c r="W701">
        <v>169</v>
      </c>
    </row>
    <row r="702" spans="11:23" x14ac:dyDescent="0.3">
      <c r="K702">
        <v>701</v>
      </c>
      <c r="L702">
        <f t="shared" ca="1" si="12"/>
        <v>361.34173295103892</v>
      </c>
      <c r="M702">
        <f ca="1">IF(L702&lt;=0,0,10^(MultiLogRegr1stWeek!$B$17+LOG10(L702)*MultiLogRegr1stWeek!$B$18+MultiLogRegr1stWeek!$B$19*14+MultiLogRegr1stWeek!$B$20*0))</f>
        <v>162.74783829229614</v>
      </c>
      <c r="U702">
        <v>700</v>
      </c>
      <c r="V702">
        <v>350</v>
      </c>
      <c r="W702">
        <v>166</v>
      </c>
    </row>
    <row r="703" spans="11:23" x14ac:dyDescent="0.3">
      <c r="K703">
        <v>702</v>
      </c>
      <c r="L703">
        <f t="shared" ca="1" si="12"/>
        <v>111.95068809699114</v>
      </c>
      <c r="M703">
        <f ca="1">IF(L703&lt;=0,0,10^(MultiLogRegr1stWeek!$B$17+LOG10(L703)*MultiLogRegr1stWeek!$B$18+MultiLogRegr1stWeek!$B$19*14+MultiLogRegr1stWeek!$B$20*0))</f>
        <v>49.190108147379725</v>
      </c>
      <c r="U703">
        <v>701</v>
      </c>
      <c r="V703">
        <v>343</v>
      </c>
      <c r="W703">
        <v>164</v>
      </c>
    </row>
    <row r="704" spans="11:23" x14ac:dyDescent="0.3">
      <c r="K704">
        <v>703</v>
      </c>
      <c r="L704">
        <f t="shared" ca="1" si="12"/>
        <v>591.44052782726123</v>
      </c>
      <c r="M704">
        <f ca="1">IF(L704&lt;=0,0,10^(MultiLogRegr1stWeek!$B$17+LOG10(L704)*MultiLogRegr1stWeek!$B$18+MultiLogRegr1stWeek!$B$19*14+MultiLogRegr1stWeek!$B$20*0))</f>
        <v>269.17021855030964</v>
      </c>
      <c r="U704">
        <v>702</v>
      </c>
      <c r="V704">
        <v>361</v>
      </c>
      <c r="W704">
        <v>171</v>
      </c>
    </row>
    <row r="705" spans="11:23" x14ac:dyDescent="0.3">
      <c r="K705">
        <v>704</v>
      </c>
      <c r="L705">
        <f t="shared" ca="1" si="12"/>
        <v>81.820779749451418</v>
      </c>
      <c r="M705">
        <f ca="1">IF(L705&lt;=0,0,10^(MultiLogRegr1stWeek!$B$17+LOG10(L705)*MultiLogRegr1stWeek!$B$18+MultiLogRegr1stWeek!$B$19*14+MultiLogRegr1stWeek!$B$20*0))</f>
        <v>35.714067116401793</v>
      </c>
      <c r="U705">
        <v>703</v>
      </c>
      <c r="V705">
        <v>342</v>
      </c>
      <c r="W705">
        <v>164</v>
      </c>
    </row>
    <row r="706" spans="11:23" x14ac:dyDescent="0.3">
      <c r="K706">
        <v>705</v>
      </c>
      <c r="L706">
        <f t="shared" ca="1" si="12"/>
        <v>123.81012510749528</v>
      </c>
      <c r="M706">
        <f ca="1">IF(L706&lt;=0,0,10^(MultiLogRegr1stWeek!$B$17+LOG10(L706)*MultiLogRegr1stWeek!$B$18+MultiLogRegr1stWeek!$B$19*14+MultiLogRegr1stWeek!$B$20*0))</f>
        <v>54.516829656160276</v>
      </c>
      <c r="U706">
        <v>704</v>
      </c>
      <c r="V706">
        <v>356</v>
      </c>
      <c r="W706">
        <v>169</v>
      </c>
    </row>
    <row r="707" spans="11:23" x14ac:dyDescent="0.3">
      <c r="K707">
        <v>706</v>
      </c>
      <c r="L707">
        <f t="shared" ref="L707:L770" ca="1" si="13">_xlfn.NORM.INV(RAND(),$S$3,$S$2)</f>
        <v>103.99738190627818</v>
      </c>
      <c r="M707">
        <f ca="1">IF(L707&lt;=0,0,10^(MultiLogRegr1stWeek!$B$17+LOG10(L707)*MultiLogRegr1stWeek!$B$18+MultiLogRegr1stWeek!$B$19*14+MultiLogRegr1stWeek!$B$20*0))</f>
        <v>45.624444580053577</v>
      </c>
      <c r="U707">
        <v>705</v>
      </c>
      <c r="V707">
        <v>334</v>
      </c>
      <c r="W707">
        <v>160</v>
      </c>
    </row>
    <row r="708" spans="11:23" x14ac:dyDescent="0.3">
      <c r="K708">
        <v>707</v>
      </c>
      <c r="L708">
        <f t="shared" ca="1" si="13"/>
        <v>22.378073524520175</v>
      </c>
      <c r="M708">
        <f ca="1">IF(L708&lt;=0,0,10^(MultiLogRegr1stWeek!$B$17+LOG10(L708)*MultiLogRegr1stWeek!$B$18+MultiLogRegr1stWeek!$B$19*14+MultiLogRegr1stWeek!$B$20*0))</f>
        <v>9.5040527555328591</v>
      </c>
      <c r="U708">
        <v>706</v>
      </c>
      <c r="V708">
        <v>337</v>
      </c>
      <c r="W708">
        <v>162</v>
      </c>
    </row>
    <row r="709" spans="11:23" x14ac:dyDescent="0.3">
      <c r="K709">
        <v>708</v>
      </c>
      <c r="L709">
        <f t="shared" ca="1" si="13"/>
        <v>1103.5162120092632</v>
      </c>
      <c r="M709">
        <f ca="1">IF(L709&lt;=0,0,10^(MultiLogRegr1stWeek!$B$17+LOG10(L709)*MultiLogRegr1stWeek!$B$18+MultiLogRegr1stWeek!$B$19*14+MultiLogRegr1stWeek!$B$20*0))</f>
        <v>508.87892984538934</v>
      </c>
      <c r="U709">
        <v>707</v>
      </c>
      <c r="V709">
        <v>355</v>
      </c>
      <c r="W709">
        <v>170</v>
      </c>
    </row>
    <row r="710" spans="11:23" x14ac:dyDescent="0.3">
      <c r="K710">
        <v>709</v>
      </c>
      <c r="L710">
        <f t="shared" ca="1" si="13"/>
        <v>337.83797663109391</v>
      </c>
      <c r="M710">
        <f ca="1">IF(L710&lt;=0,0,10^(MultiLogRegr1stWeek!$B$17+LOG10(L710)*MultiLogRegr1stWeek!$B$18+MultiLogRegr1stWeek!$B$19*14+MultiLogRegr1stWeek!$B$20*0))</f>
        <v>151.94582171106666</v>
      </c>
      <c r="U710">
        <v>708</v>
      </c>
      <c r="V710">
        <v>337</v>
      </c>
      <c r="W710">
        <v>162</v>
      </c>
    </row>
    <row r="711" spans="11:23" x14ac:dyDescent="0.3">
      <c r="K711">
        <v>710</v>
      </c>
      <c r="L711">
        <f t="shared" ca="1" si="13"/>
        <v>-198.6554708674995</v>
      </c>
      <c r="M711">
        <f ca="1">IF(L711&lt;=0,0,10^(MultiLogRegr1stWeek!$B$17+LOG10(L711)*MultiLogRegr1stWeek!$B$18+MultiLogRegr1stWeek!$B$19*14+MultiLogRegr1stWeek!$B$20*0))</f>
        <v>0</v>
      </c>
      <c r="U711">
        <v>709</v>
      </c>
      <c r="V711">
        <v>350</v>
      </c>
      <c r="W711">
        <v>165</v>
      </c>
    </row>
    <row r="712" spans="11:23" x14ac:dyDescent="0.3">
      <c r="K712">
        <v>711</v>
      </c>
      <c r="L712">
        <f t="shared" ca="1" si="13"/>
        <v>568.10944569074843</v>
      </c>
      <c r="M712">
        <f ca="1">IF(L712&lt;=0,0,10^(MultiLogRegr1stWeek!$B$17+LOG10(L712)*MultiLogRegr1stWeek!$B$18+MultiLogRegr1stWeek!$B$19*14+MultiLogRegr1stWeek!$B$20*0))</f>
        <v>258.33237493260594</v>
      </c>
      <c r="U712">
        <v>710</v>
      </c>
      <c r="V712">
        <v>342</v>
      </c>
      <c r="W712">
        <v>164</v>
      </c>
    </row>
    <row r="713" spans="11:23" x14ac:dyDescent="0.3">
      <c r="K713">
        <v>712</v>
      </c>
      <c r="L713">
        <f t="shared" ca="1" si="13"/>
        <v>945.83596830207671</v>
      </c>
      <c r="M713">
        <f ca="1">IF(L713&lt;=0,0,10^(MultiLogRegr1stWeek!$B$17+LOG10(L713)*MultiLogRegr1stWeek!$B$18+MultiLogRegr1stWeek!$B$19*14+MultiLogRegr1stWeek!$B$20*0))</f>
        <v>434.74795001950093</v>
      </c>
      <c r="U713">
        <v>711</v>
      </c>
      <c r="V713">
        <v>353</v>
      </c>
      <c r="W713">
        <v>168</v>
      </c>
    </row>
    <row r="714" spans="11:23" x14ac:dyDescent="0.3">
      <c r="K714">
        <v>713</v>
      </c>
      <c r="L714">
        <f t="shared" ca="1" si="13"/>
        <v>-260.86453747350652</v>
      </c>
      <c r="M714">
        <f ca="1">IF(L714&lt;=0,0,10^(MultiLogRegr1stWeek!$B$17+LOG10(L714)*MultiLogRegr1stWeek!$B$18+MultiLogRegr1stWeek!$B$19*14+MultiLogRegr1stWeek!$B$20*0))</f>
        <v>0</v>
      </c>
      <c r="U714">
        <v>712</v>
      </c>
      <c r="V714">
        <v>340</v>
      </c>
      <c r="W714">
        <v>163</v>
      </c>
    </row>
    <row r="715" spans="11:23" x14ac:dyDescent="0.3">
      <c r="K715">
        <v>714</v>
      </c>
      <c r="L715">
        <f t="shared" ca="1" si="13"/>
        <v>326.96644792047556</v>
      </c>
      <c r="M715">
        <f ca="1">IF(L715&lt;=0,0,10^(MultiLogRegr1stWeek!$B$17+LOG10(L715)*MultiLogRegr1stWeek!$B$18+MultiLogRegr1stWeek!$B$19*14+MultiLogRegr1stWeek!$B$20*0))</f>
        <v>146.95471190976571</v>
      </c>
      <c r="U715">
        <v>713</v>
      </c>
      <c r="V715">
        <v>334</v>
      </c>
      <c r="W715">
        <v>160</v>
      </c>
    </row>
    <row r="716" spans="11:23" x14ac:dyDescent="0.3">
      <c r="K716">
        <v>715</v>
      </c>
      <c r="L716">
        <f t="shared" ca="1" si="13"/>
        <v>186.85267486701073</v>
      </c>
      <c r="M716">
        <f ca="1">IF(L716&lt;=0,0,10^(MultiLogRegr1stWeek!$B$17+LOG10(L716)*MultiLogRegr1stWeek!$B$18+MultiLogRegr1stWeek!$B$19*14+MultiLogRegr1stWeek!$B$20*0))</f>
        <v>82.994289423955536</v>
      </c>
      <c r="U716">
        <v>714</v>
      </c>
      <c r="V716">
        <v>342</v>
      </c>
      <c r="W716">
        <v>164</v>
      </c>
    </row>
    <row r="717" spans="11:23" x14ac:dyDescent="0.3">
      <c r="K717">
        <v>716</v>
      </c>
      <c r="L717">
        <f t="shared" ca="1" si="13"/>
        <v>518.44371912868883</v>
      </c>
      <c r="M717">
        <f ca="1">IF(L717&lt;=0,0,10^(MultiLogRegr1stWeek!$B$17+LOG10(L717)*MultiLogRegr1stWeek!$B$18+MultiLogRegr1stWeek!$B$19*14+MultiLogRegr1stWeek!$B$20*0))</f>
        <v>235.29325076351427</v>
      </c>
      <c r="U717">
        <v>715</v>
      </c>
      <c r="V717">
        <v>340</v>
      </c>
      <c r="W717">
        <v>162</v>
      </c>
    </row>
    <row r="718" spans="11:23" x14ac:dyDescent="0.3">
      <c r="K718">
        <v>717</v>
      </c>
      <c r="L718">
        <f t="shared" ca="1" si="13"/>
        <v>354.91033737628868</v>
      </c>
      <c r="M718">
        <f ca="1">IF(L718&lt;=0,0,10^(MultiLogRegr1stWeek!$B$17+LOG10(L718)*MultiLogRegr1stWeek!$B$18+MultiLogRegr1stWeek!$B$19*14+MultiLogRegr1stWeek!$B$20*0))</f>
        <v>159.79053683045001</v>
      </c>
      <c r="U718">
        <v>716</v>
      </c>
      <c r="V718">
        <v>336</v>
      </c>
      <c r="W718">
        <v>160</v>
      </c>
    </row>
    <row r="719" spans="11:23" x14ac:dyDescent="0.3">
      <c r="K719">
        <v>718</v>
      </c>
      <c r="L719">
        <f t="shared" ca="1" si="13"/>
        <v>300.43107182868334</v>
      </c>
      <c r="M719">
        <f ca="1">IF(L719&lt;=0,0,10^(MultiLogRegr1stWeek!$B$17+LOG10(L719)*MultiLogRegr1stWeek!$B$18+MultiLogRegr1stWeek!$B$19*14+MultiLogRegr1stWeek!$B$20*0))</f>
        <v>134.78729556700296</v>
      </c>
      <c r="U719">
        <v>717</v>
      </c>
      <c r="V719">
        <v>344</v>
      </c>
      <c r="W719">
        <v>165</v>
      </c>
    </row>
    <row r="720" spans="11:23" x14ac:dyDescent="0.3">
      <c r="K720">
        <v>719</v>
      </c>
      <c r="L720">
        <f t="shared" ca="1" si="13"/>
        <v>378.89258158476076</v>
      </c>
      <c r="M720">
        <f ca="1">IF(L720&lt;=0,0,10^(MultiLogRegr1stWeek!$B$17+LOG10(L720)*MultiLogRegr1stWeek!$B$18+MultiLogRegr1stWeek!$B$19*14+MultiLogRegr1stWeek!$B$20*0))</f>
        <v>170.82371749537558</v>
      </c>
      <c r="U720">
        <v>718</v>
      </c>
      <c r="V720">
        <v>349</v>
      </c>
      <c r="W720">
        <v>166</v>
      </c>
    </row>
    <row r="721" spans="11:23" x14ac:dyDescent="0.3">
      <c r="K721">
        <v>720</v>
      </c>
      <c r="L721">
        <f t="shared" ca="1" si="13"/>
        <v>707.78700152235729</v>
      </c>
      <c r="M721">
        <f ca="1">IF(L721&lt;=0,0,10^(MultiLogRegr1stWeek!$B$17+LOG10(L721)*MultiLogRegr1stWeek!$B$18+MultiLogRegr1stWeek!$B$19*14+MultiLogRegr1stWeek!$B$20*0))</f>
        <v>323.34446452509349</v>
      </c>
      <c r="U721">
        <v>719</v>
      </c>
      <c r="V721">
        <v>342</v>
      </c>
      <c r="W721">
        <v>161</v>
      </c>
    </row>
    <row r="722" spans="11:23" x14ac:dyDescent="0.3">
      <c r="K722">
        <v>721</v>
      </c>
      <c r="L722">
        <f t="shared" ca="1" si="13"/>
        <v>533.2813830507057</v>
      </c>
      <c r="M722">
        <f ca="1">IF(L722&lt;=0,0,10^(MultiLogRegr1stWeek!$B$17+LOG10(L722)*MultiLogRegr1stWeek!$B$18+MultiLogRegr1stWeek!$B$19*14+MultiLogRegr1stWeek!$B$20*0))</f>
        <v>242.17151345119345</v>
      </c>
      <c r="U722">
        <v>720</v>
      </c>
      <c r="V722">
        <v>333</v>
      </c>
      <c r="W722">
        <v>160</v>
      </c>
    </row>
    <row r="723" spans="11:23" x14ac:dyDescent="0.3">
      <c r="K723">
        <v>722</v>
      </c>
      <c r="L723">
        <f t="shared" ca="1" si="13"/>
        <v>602.06746374476575</v>
      </c>
      <c r="M723">
        <f ca="1">IF(L723&lt;=0,0,10^(MultiLogRegr1stWeek!$B$17+LOG10(L723)*MultiLogRegr1stWeek!$B$18+MultiLogRegr1stWeek!$B$19*14+MultiLogRegr1stWeek!$B$20*0))</f>
        <v>274.10969890176591</v>
      </c>
      <c r="U723">
        <v>721</v>
      </c>
      <c r="V723">
        <v>327</v>
      </c>
      <c r="W723">
        <v>158</v>
      </c>
    </row>
    <row r="724" spans="11:23" x14ac:dyDescent="0.3">
      <c r="K724">
        <v>723</v>
      </c>
      <c r="L724">
        <f t="shared" ca="1" si="13"/>
        <v>29.195622944003787</v>
      </c>
      <c r="M724">
        <f ca="1">IF(L724&lt;=0,0,10^(MultiLogRegr1stWeek!$B$17+LOG10(L724)*MultiLogRegr1stWeek!$B$18+MultiLogRegr1stWeek!$B$19*14+MultiLogRegr1stWeek!$B$20*0))</f>
        <v>12.46931970343352</v>
      </c>
      <c r="U724">
        <v>722</v>
      </c>
      <c r="V724">
        <v>345</v>
      </c>
      <c r="W724">
        <v>165</v>
      </c>
    </row>
    <row r="725" spans="11:23" x14ac:dyDescent="0.3">
      <c r="K725">
        <v>724</v>
      </c>
      <c r="L725">
        <f t="shared" ca="1" si="13"/>
        <v>290.0068485075065</v>
      </c>
      <c r="M725">
        <f ca="1">IF(L725&lt;=0,0,10^(MultiLogRegr1stWeek!$B$17+LOG10(L725)*MultiLogRegr1stWeek!$B$18+MultiLogRegr1stWeek!$B$19*14+MultiLogRegr1stWeek!$B$20*0))</f>
        <v>130.01351751428044</v>
      </c>
      <c r="U725">
        <v>723</v>
      </c>
      <c r="V725">
        <v>331</v>
      </c>
      <c r="W725">
        <v>160</v>
      </c>
    </row>
    <row r="726" spans="11:23" x14ac:dyDescent="0.3">
      <c r="K726">
        <v>725</v>
      </c>
      <c r="L726">
        <f t="shared" ca="1" si="13"/>
        <v>-300.27942801922643</v>
      </c>
      <c r="M726">
        <f ca="1">IF(L726&lt;=0,0,10^(MultiLogRegr1stWeek!$B$17+LOG10(L726)*MultiLogRegr1stWeek!$B$18+MultiLogRegr1stWeek!$B$19*14+MultiLogRegr1stWeek!$B$20*0))</f>
        <v>0</v>
      </c>
      <c r="U726">
        <v>724</v>
      </c>
      <c r="V726">
        <v>324</v>
      </c>
      <c r="W726">
        <v>156</v>
      </c>
    </row>
    <row r="727" spans="11:23" x14ac:dyDescent="0.3">
      <c r="K727">
        <v>726</v>
      </c>
      <c r="L727">
        <f t="shared" ca="1" si="13"/>
        <v>489.5019844892177</v>
      </c>
      <c r="M727">
        <f ca="1">IF(L727&lt;=0,0,10^(MultiLogRegr1stWeek!$B$17+LOG10(L727)*MultiLogRegr1stWeek!$B$18+MultiLogRegr1stWeek!$B$19*14+MultiLogRegr1stWeek!$B$20*0))</f>
        <v>221.88886470074956</v>
      </c>
      <c r="U727">
        <v>725</v>
      </c>
      <c r="V727">
        <v>341</v>
      </c>
      <c r="W727">
        <v>163</v>
      </c>
    </row>
    <row r="728" spans="11:23" x14ac:dyDescent="0.3">
      <c r="K728">
        <v>727</v>
      </c>
      <c r="L728">
        <f t="shared" ca="1" si="13"/>
        <v>514.72587347913191</v>
      </c>
      <c r="M728">
        <f ca="1">IF(L728&lt;=0,0,10^(MultiLogRegr1stWeek!$B$17+LOG10(L728)*MultiLogRegr1stWeek!$B$18+MultiLogRegr1stWeek!$B$19*14+MultiLogRegr1stWeek!$B$20*0))</f>
        <v>233.5704239715441</v>
      </c>
      <c r="U728">
        <v>726</v>
      </c>
      <c r="V728">
        <v>347</v>
      </c>
      <c r="W728">
        <v>167</v>
      </c>
    </row>
    <row r="729" spans="11:23" x14ac:dyDescent="0.3">
      <c r="K729">
        <v>728</v>
      </c>
      <c r="L729">
        <f t="shared" ca="1" si="13"/>
        <v>77.263594840077701</v>
      </c>
      <c r="M729">
        <f ca="1">IF(L729&lt;=0,0,10^(MultiLogRegr1stWeek!$B$17+LOG10(L729)*MultiLogRegr1stWeek!$B$18+MultiLogRegr1stWeek!$B$19*14+MultiLogRegr1stWeek!$B$20*0))</f>
        <v>33.684107163779331</v>
      </c>
      <c r="U729">
        <v>727</v>
      </c>
      <c r="V729">
        <v>332</v>
      </c>
      <c r="W729">
        <v>160</v>
      </c>
    </row>
    <row r="730" spans="11:23" x14ac:dyDescent="0.3">
      <c r="K730">
        <v>729</v>
      </c>
      <c r="L730">
        <f t="shared" ca="1" si="13"/>
        <v>-128.85555600851836</v>
      </c>
      <c r="M730">
        <f ca="1">IF(L730&lt;=0,0,10^(MultiLogRegr1stWeek!$B$17+LOG10(L730)*MultiLogRegr1stWeek!$B$18+MultiLogRegr1stWeek!$B$19*14+MultiLogRegr1stWeek!$B$20*0))</f>
        <v>0</v>
      </c>
      <c r="U730">
        <v>728</v>
      </c>
      <c r="V730">
        <v>333</v>
      </c>
      <c r="W730">
        <v>159</v>
      </c>
    </row>
    <row r="731" spans="11:23" x14ac:dyDescent="0.3">
      <c r="K731">
        <v>730</v>
      </c>
      <c r="L731">
        <f t="shared" ca="1" si="13"/>
        <v>163.5543701503733</v>
      </c>
      <c r="M731">
        <f ca="1">IF(L731&lt;=0,0,10^(MultiLogRegr1stWeek!$B$17+LOG10(L731)*MultiLogRegr1stWeek!$B$18+MultiLogRegr1stWeek!$B$19*14+MultiLogRegr1stWeek!$B$20*0))</f>
        <v>72.44188052115021</v>
      </c>
      <c r="U731">
        <v>729</v>
      </c>
      <c r="V731">
        <v>332</v>
      </c>
      <c r="W731">
        <v>160</v>
      </c>
    </row>
    <row r="732" spans="11:23" x14ac:dyDescent="0.3">
      <c r="K732">
        <v>731</v>
      </c>
      <c r="L732">
        <f t="shared" ca="1" si="13"/>
        <v>660.88152048551615</v>
      </c>
      <c r="M732">
        <f ca="1">IF(L732&lt;=0,0,10^(MultiLogRegr1stWeek!$B$17+LOG10(L732)*MultiLogRegr1stWeek!$B$18+MultiLogRegr1stWeek!$B$19*14+MultiLogRegr1stWeek!$B$20*0))</f>
        <v>301.47938674389422</v>
      </c>
      <c r="U732">
        <v>730</v>
      </c>
      <c r="V732">
        <v>343</v>
      </c>
      <c r="W732">
        <v>165</v>
      </c>
    </row>
    <row r="733" spans="11:23" x14ac:dyDescent="0.3">
      <c r="K733">
        <v>732</v>
      </c>
      <c r="L733">
        <f t="shared" ca="1" si="13"/>
        <v>306.6076919147705</v>
      </c>
      <c r="M733">
        <f ca="1">IF(L733&lt;=0,0,10^(MultiLogRegr1stWeek!$B$17+LOG10(L733)*MultiLogRegr1stWeek!$B$18+MultiLogRegr1stWeek!$B$19*14+MultiLogRegr1stWeek!$B$20*0))</f>
        <v>137.61754041490465</v>
      </c>
      <c r="U733">
        <v>731</v>
      </c>
      <c r="V733">
        <v>339</v>
      </c>
      <c r="W733">
        <v>162</v>
      </c>
    </row>
    <row r="734" spans="11:23" x14ac:dyDescent="0.3">
      <c r="K734">
        <v>733</v>
      </c>
      <c r="L734">
        <f t="shared" ca="1" si="13"/>
        <v>473.36463120436849</v>
      </c>
      <c r="M734">
        <f ca="1">IF(L734&lt;=0,0,10^(MultiLogRegr1stWeek!$B$17+LOG10(L734)*MultiLogRegr1stWeek!$B$18+MultiLogRegr1stWeek!$B$19*14+MultiLogRegr1stWeek!$B$20*0))</f>
        <v>214.4220412805885</v>
      </c>
      <c r="U734">
        <v>732</v>
      </c>
      <c r="V734">
        <v>347</v>
      </c>
      <c r="W734">
        <v>166</v>
      </c>
    </row>
    <row r="735" spans="11:23" x14ac:dyDescent="0.3">
      <c r="K735">
        <v>734</v>
      </c>
      <c r="L735">
        <f t="shared" ca="1" si="13"/>
        <v>599.11000845204103</v>
      </c>
      <c r="M735">
        <f ca="1">IF(L735&lt;=0,0,10^(MultiLogRegr1stWeek!$B$17+LOG10(L735)*MultiLogRegr1stWeek!$B$18+MultiLogRegr1stWeek!$B$19*14+MultiLogRegr1stWeek!$B$20*0))</f>
        <v>272.7348649719732</v>
      </c>
      <c r="U735">
        <v>733</v>
      </c>
      <c r="V735">
        <v>336</v>
      </c>
      <c r="W735">
        <v>162</v>
      </c>
    </row>
    <row r="736" spans="11:23" x14ac:dyDescent="0.3">
      <c r="K736">
        <v>735</v>
      </c>
      <c r="L736">
        <f t="shared" ca="1" si="13"/>
        <v>320.4473259991139</v>
      </c>
      <c r="M736">
        <f ca="1">IF(L736&lt;=0,0,10^(MultiLogRegr1stWeek!$B$17+LOG10(L736)*MultiLogRegr1stWeek!$B$18+MultiLogRegr1stWeek!$B$19*14+MultiLogRegr1stWeek!$B$20*0))</f>
        <v>143.96346154672753</v>
      </c>
      <c r="U736">
        <v>734</v>
      </c>
      <c r="V736">
        <v>341</v>
      </c>
      <c r="W736">
        <v>163</v>
      </c>
    </row>
    <row r="737" spans="11:23" x14ac:dyDescent="0.3">
      <c r="K737">
        <v>736</v>
      </c>
      <c r="L737">
        <f t="shared" ca="1" si="13"/>
        <v>809.23776985385689</v>
      </c>
      <c r="M737">
        <f ca="1">IF(L737&lt;=0,0,10^(MultiLogRegr1stWeek!$B$17+LOG10(L737)*MultiLogRegr1stWeek!$B$18+MultiLogRegr1stWeek!$B$19*14+MultiLogRegr1stWeek!$B$20*0))</f>
        <v>370.73827502168285</v>
      </c>
      <c r="U737">
        <v>735</v>
      </c>
      <c r="V737">
        <v>331</v>
      </c>
      <c r="W737">
        <v>160</v>
      </c>
    </row>
    <row r="738" spans="11:23" x14ac:dyDescent="0.3">
      <c r="K738">
        <v>737</v>
      </c>
      <c r="L738">
        <f t="shared" ca="1" si="13"/>
        <v>263.54784363423511</v>
      </c>
      <c r="M738">
        <f ca="1">IF(L738&lt;=0,0,10^(MultiLogRegr1stWeek!$B$17+LOG10(L738)*MultiLogRegr1stWeek!$B$18+MultiLogRegr1stWeek!$B$19*14+MultiLogRegr1stWeek!$B$20*0))</f>
        <v>117.91317921939681</v>
      </c>
      <c r="U738">
        <v>736</v>
      </c>
      <c r="V738">
        <v>333</v>
      </c>
      <c r="W738">
        <v>158</v>
      </c>
    </row>
    <row r="739" spans="11:23" x14ac:dyDescent="0.3">
      <c r="K739">
        <v>738</v>
      </c>
      <c r="L739">
        <f t="shared" ca="1" si="13"/>
        <v>138.931058804256</v>
      </c>
      <c r="M739">
        <f ca="1">IF(L739&lt;=0,0,10^(MultiLogRegr1stWeek!$B$17+LOG10(L739)*MultiLogRegr1stWeek!$B$18+MultiLogRegr1stWeek!$B$19*14+MultiLogRegr1stWeek!$B$20*0))</f>
        <v>61.324006511409664</v>
      </c>
      <c r="U739">
        <v>737</v>
      </c>
      <c r="V739">
        <v>337</v>
      </c>
      <c r="W739">
        <v>162</v>
      </c>
    </row>
    <row r="740" spans="11:23" x14ac:dyDescent="0.3">
      <c r="K740">
        <v>739</v>
      </c>
      <c r="L740">
        <f t="shared" ca="1" si="13"/>
        <v>86.603331798658076</v>
      </c>
      <c r="M740">
        <f ca="1">IF(L740&lt;=0,0,10^(MultiLogRegr1stWeek!$B$17+LOG10(L740)*MultiLogRegr1stWeek!$B$18+MultiLogRegr1stWeek!$B$19*14+MultiLogRegr1stWeek!$B$20*0))</f>
        <v>37.846983099496299</v>
      </c>
      <c r="U740">
        <v>738</v>
      </c>
      <c r="V740">
        <v>340</v>
      </c>
      <c r="W740">
        <v>163</v>
      </c>
    </row>
    <row r="741" spans="11:23" x14ac:dyDescent="0.3">
      <c r="K741">
        <v>740</v>
      </c>
      <c r="L741">
        <f t="shared" ca="1" si="13"/>
        <v>200.60951064911723</v>
      </c>
      <c r="M741">
        <f ca="1">IF(L741&lt;=0,0,10^(MultiLogRegr1stWeek!$B$17+LOG10(L741)*MultiLogRegr1stWeek!$B$18+MultiLogRegr1stWeek!$B$19*14+MultiLogRegr1stWeek!$B$20*0))</f>
        <v>89.23842695547188</v>
      </c>
      <c r="U741">
        <v>739</v>
      </c>
      <c r="V741">
        <v>333</v>
      </c>
      <c r="W741">
        <v>160</v>
      </c>
    </row>
    <row r="742" spans="11:23" x14ac:dyDescent="0.3">
      <c r="K742">
        <v>741</v>
      </c>
      <c r="L742">
        <f t="shared" ca="1" si="13"/>
        <v>596.95068411936336</v>
      </c>
      <c r="M742">
        <f ca="1">IF(L742&lt;=0,0,10^(MultiLogRegr1stWeek!$B$17+LOG10(L742)*MultiLogRegr1stWeek!$B$18+MultiLogRegr1stWeek!$B$19*14+MultiLogRegr1stWeek!$B$20*0))</f>
        <v>271.73114911146956</v>
      </c>
      <c r="U742">
        <v>740</v>
      </c>
      <c r="V742">
        <v>333</v>
      </c>
      <c r="W742">
        <v>159</v>
      </c>
    </row>
    <row r="743" spans="11:23" x14ac:dyDescent="0.3">
      <c r="K743">
        <v>742</v>
      </c>
      <c r="L743">
        <f t="shared" ca="1" si="13"/>
        <v>115.12627592288271</v>
      </c>
      <c r="M743">
        <f ca="1">IF(L743&lt;=0,0,10^(MultiLogRegr1stWeek!$B$17+LOG10(L743)*MultiLogRegr1stWeek!$B$18+MultiLogRegr1stWeek!$B$19*14+MultiLogRegr1stWeek!$B$20*0))</f>
        <v>50.615319825557741</v>
      </c>
      <c r="U743">
        <v>741</v>
      </c>
      <c r="V743">
        <v>346</v>
      </c>
      <c r="W743">
        <v>165</v>
      </c>
    </row>
    <row r="744" spans="11:23" x14ac:dyDescent="0.3">
      <c r="K744">
        <v>743</v>
      </c>
      <c r="L744">
        <f t="shared" ca="1" si="13"/>
        <v>440.74381687407174</v>
      </c>
      <c r="M744">
        <f ca="1">IF(L744&lt;=0,0,10^(MultiLogRegr1stWeek!$B$17+LOG10(L744)*MultiLogRegr1stWeek!$B$18+MultiLogRegr1stWeek!$B$19*14+MultiLogRegr1stWeek!$B$20*0))</f>
        <v>199.34485443511443</v>
      </c>
      <c r="U744">
        <v>742</v>
      </c>
      <c r="V744">
        <v>345</v>
      </c>
      <c r="W744">
        <v>166</v>
      </c>
    </row>
    <row r="745" spans="11:23" x14ac:dyDescent="0.3">
      <c r="K745">
        <v>744</v>
      </c>
      <c r="L745">
        <f t="shared" ca="1" si="13"/>
        <v>79.583046688396792</v>
      </c>
      <c r="M745">
        <f ca="1">IF(L745&lt;=0,0,10^(MultiLogRegr1stWeek!$B$17+LOG10(L745)*MultiLogRegr1stWeek!$B$18+MultiLogRegr1stWeek!$B$19*14+MultiLogRegr1stWeek!$B$20*0))</f>
        <v>34.716980735723141</v>
      </c>
      <c r="U745">
        <v>743</v>
      </c>
      <c r="V745">
        <v>342</v>
      </c>
      <c r="W745">
        <v>162</v>
      </c>
    </row>
    <row r="746" spans="11:23" x14ac:dyDescent="0.3">
      <c r="K746">
        <v>745</v>
      </c>
      <c r="L746">
        <f t="shared" ca="1" si="13"/>
        <v>636.47654254747886</v>
      </c>
      <c r="M746">
        <f ca="1">IF(L746&lt;=0,0,10^(MultiLogRegr1stWeek!$B$17+LOG10(L746)*MultiLogRegr1stWeek!$B$18+MultiLogRegr1stWeek!$B$19*14+MultiLogRegr1stWeek!$B$20*0))</f>
        <v>290.11577565672013</v>
      </c>
      <c r="U746">
        <v>744</v>
      </c>
      <c r="V746">
        <v>339</v>
      </c>
      <c r="W746">
        <v>161</v>
      </c>
    </row>
    <row r="747" spans="11:23" x14ac:dyDescent="0.3">
      <c r="K747">
        <v>746</v>
      </c>
      <c r="L747">
        <f t="shared" ca="1" si="13"/>
        <v>204.35240061806837</v>
      </c>
      <c r="M747">
        <f ca="1">IF(L747&lt;=0,0,10^(MultiLogRegr1stWeek!$B$17+LOG10(L747)*MultiLogRegr1stWeek!$B$18+MultiLogRegr1stWeek!$B$19*14+MultiLogRegr1stWeek!$B$20*0))</f>
        <v>90.938892539793528</v>
      </c>
      <c r="U747">
        <v>745</v>
      </c>
      <c r="V747">
        <v>333</v>
      </c>
      <c r="W747">
        <v>159</v>
      </c>
    </row>
    <row r="748" spans="11:23" x14ac:dyDescent="0.3">
      <c r="K748">
        <v>747</v>
      </c>
      <c r="L748">
        <f t="shared" ca="1" si="13"/>
        <v>-56.194219726901679</v>
      </c>
      <c r="M748">
        <f ca="1">IF(L748&lt;=0,0,10^(MultiLogRegr1stWeek!$B$17+LOG10(L748)*MultiLogRegr1stWeek!$B$18+MultiLogRegr1stWeek!$B$19*14+MultiLogRegr1stWeek!$B$20*0))</f>
        <v>0</v>
      </c>
      <c r="U748">
        <v>746</v>
      </c>
      <c r="V748">
        <v>355</v>
      </c>
      <c r="W748">
        <v>168</v>
      </c>
    </row>
    <row r="749" spans="11:23" x14ac:dyDescent="0.3">
      <c r="K749">
        <v>748</v>
      </c>
      <c r="L749">
        <f t="shared" ca="1" si="13"/>
        <v>-209.09953065169475</v>
      </c>
      <c r="M749">
        <f ca="1">IF(L749&lt;=0,0,10^(MultiLogRegr1stWeek!$B$17+LOG10(L749)*MultiLogRegr1stWeek!$B$18+MultiLogRegr1stWeek!$B$19*14+MultiLogRegr1stWeek!$B$20*0))</f>
        <v>0</v>
      </c>
      <c r="U749">
        <v>747</v>
      </c>
      <c r="V749">
        <v>327</v>
      </c>
      <c r="W749">
        <v>158</v>
      </c>
    </row>
    <row r="750" spans="11:23" x14ac:dyDescent="0.3">
      <c r="K750">
        <v>749</v>
      </c>
      <c r="L750">
        <f t="shared" ca="1" si="13"/>
        <v>269.7511072949967</v>
      </c>
      <c r="M750">
        <f ca="1">IF(L750&lt;=0,0,10^(MultiLogRegr1stWeek!$B$17+LOG10(L750)*MultiLogRegr1stWeek!$B$18+MultiLogRegr1stWeek!$B$19*14+MultiLogRegr1stWeek!$B$20*0))</f>
        <v>120.74786933822755</v>
      </c>
      <c r="U750">
        <v>748</v>
      </c>
      <c r="V750">
        <v>325</v>
      </c>
      <c r="W750">
        <v>157</v>
      </c>
    </row>
    <row r="751" spans="11:23" x14ac:dyDescent="0.3">
      <c r="K751">
        <v>750</v>
      </c>
      <c r="L751">
        <f t="shared" ca="1" si="13"/>
        <v>-192.86720427520049</v>
      </c>
      <c r="M751">
        <f ca="1">IF(L751&lt;=0,0,10^(MultiLogRegr1stWeek!$B$17+LOG10(L751)*MultiLogRegr1stWeek!$B$18+MultiLogRegr1stWeek!$B$19*14+MultiLogRegr1stWeek!$B$20*0))</f>
        <v>0</v>
      </c>
      <c r="U751">
        <v>749</v>
      </c>
      <c r="V751">
        <v>328</v>
      </c>
      <c r="W751">
        <v>158</v>
      </c>
    </row>
    <row r="752" spans="11:23" x14ac:dyDescent="0.3">
      <c r="K752">
        <v>751</v>
      </c>
      <c r="L752">
        <f t="shared" ca="1" si="13"/>
        <v>184.56237082000249</v>
      </c>
      <c r="M752">
        <f ca="1">IF(L752&lt;=0,0,10^(MultiLogRegr1stWeek!$B$17+LOG10(L752)*MultiLogRegr1stWeek!$B$18+MultiLogRegr1stWeek!$B$19*14+MultiLogRegr1stWeek!$B$20*0))</f>
        <v>81.955659172902656</v>
      </c>
      <c r="U752">
        <v>750</v>
      </c>
      <c r="V752">
        <v>349</v>
      </c>
      <c r="W752">
        <v>167</v>
      </c>
    </row>
    <row r="753" spans="11:23" x14ac:dyDescent="0.3">
      <c r="K753">
        <v>752</v>
      </c>
      <c r="L753">
        <f t="shared" ca="1" si="13"/>
        <v>-348.15807275189286</v>
      </c>
      <c r="M753">
        <f ca="1">IF(L753&lt;=0,0,10^(MultiLogRegr1stWeek!$B$17+LOG10(L753)*MultiLogRegr1stWeek!$B$18+MultiLogRegr1stWeek!$B$19*14+MultiLogRegr1stWeek!$B$20*0))</f>
        <v>0</v>
      </c>
      <c r="U753">
        <v>751</v>
      </c>
      <c r="V753">
        <v>325</v>
      </c>
      <c r="W753">
        <v>157</v>
      </c>
    </row>
    <row r="754" spans="11:23" x14ac:dyDescent="0.3">
      <c r="K754">
        <v>753</v>
      </c>
      <c r="L754">
        <f t="shared" ca="1" si="13"/>
        <v>383.6457169220069</v>
      </c>
      <c r="M754">
        <f ca="1">IF(L754&lt;=0,0,10^(MultiLogRegr1stWeek!$B$17+LOG10(L754)*MultiLogRegr1stWeek!$B$18+MultiLogRegr1stWeek!$B$19*14+MultiLogRegr1stWeek!$B$20*0))</f>
        <v>173.0122091890205</v>
      </c>
      <c r="U754">
        <v>752</v>
      </c>
      <c r="V754">
        <v>332</v>
      </c>
      <c r="W754">
        <v>161</v>
      </c>
    </row>
    <row r="755" spans="11:23" x14ac:dyDescent="0.3">
      <c r="K755">
        <v>754</v>
      </c>
      <c r="L755">
        <f t="shared" ca="1" si="13"/>
        <v>664.49832443814398</v>
      </c>
      <c r="M755">
        <f ca="1">IF(L755&lt;=0,0,10^(MultiLogRegr1stWeek!$B$17+LOG10(L755)*MultiLogRegr1stWeek!$B$18+MultiLogRegr1stWeek!$B$19*14+MultiLogRegr1stWeek!$B$20*0))</f>
        <v>303.16422960825156</v>
      </c>
      <c r="U755">
        <v>753</v>
      </c>
      <c r="V755">
        <v>346</v>
      </c>
      <c r="W755">
        <v>165</v>
      </c>
    </row>
    <row r="756" spans="11:23" x14ac:dyDescent="0.3">
      <c r="K756">
        <v>755</v>
      </c>
      <c r="L756">
        <f t="shared" ca="1" si="13"/>
        <v>1337.5701492256353</v>
      </c>
      <c r="M756">
        <f ca="1">IF(L756&lt;=0,0,10^(MultiLogRegr1stWeek!$B$17+LOG10(L756)*MultiLogRegr1stWeek!$B$18+MultiLogRegr1stWeek!$B$19*14+MultiLogRegr1stWeek!$B$20*0))</f>
        <v>619.32179147277725</v>
      </c>
      <c r="U756">
        <v>754</v>
      </c>
      <c r="V756">
        <v>347</v>
      </c>
      <c r="W756">
        <v>165</v>
      </c>
    </row>
    <row r="757" spans="11:23" x14ac:dyDescent="0.3">
      <c r="K757">
        <v>756</v>
      </c>
      <c r="L757">
        <f t="shared" ca="1" si="13"/>
        <v>719.32915148384131</v>
      </c>
      <c r="M757">
        <f ca="1">IF(L757&lt;=0,0,10^(MultiLogRegr1stWeek!$B$17+LOG10(L757)*MultiLogRegr1stWeek!$B$18+MultiLogRegr1stWeek!$B$19*14+MultiLogRegr1stWeek!$B$20*0))</f>
        <v>328.72963313863585</v>
      </c>
      <c r="U757">
        <v>755</v>
      </c>
      <c r="V757">
        <v>341</v>
      </c>
      <c r="W757">
        <v>164</v>
      </c>
    </row>
    <row r="758" spans="11:23" x14ac:dyDescent="0.3">
      <c r="K758">
        <v>757</v>
      </c>
      <c r="L758">
        <f t="shared" ca="1" si="13"/>
        <v>17.731029959537466</v>
      </c>
      <c r="M758">
        <f ca="1">IF(L758&lt;=0,0,10^(MultiLogRegr1stWeek!$B$17+LOG10(L758)*MultiLogRegr1stWeek!$B$18+MultiLogRegr1stWeek!$B$19*14+MultiLogRegr1stWeek!$B$20*0))</f>
        <v>7.4935126914439181</v>
      </c>
      <c r="U758">
        <v>756</v>
      </c>
      <c r="V758">
        <v>342</v>
      </c>
      <c r="W758">
        <v>164</v>
      </c>
    </row>
    <row r="759" spans="11:23" x14ac:dyDescent="0.3">
      <c r="K759">
        <v>758</v>
      </c>
      <c r="L759">
        <f t="shared" ca="1" si="13"/>
        <v>116.8078589790079</v>
      </c>
      <c r="M759">
        <f ca="1">IF(L759&lt;=0,0,10^(MultiLogRegr1stWeek!$B$17+LOG10(L759)*MultiLogRegr1stWeek!$B$18+MultiLogRegr1stWeek!$B$19*14+MultiLogRegr1stWeek!$B$20*0))</f>
        <v>51.370356203347157</v>
      </c>
      <c r="U759">
        <v>757</v>
      </c>
      <c r="V759">
        <v>338</v>
      </c>
      <c r="W759">
        <v>164</v>
      </c>
    </row>
    <row r="760" spans="11:23" x14ac:dyDescent="0.3">
      <c r="K760">
        <v>759</v>
      </c>
      <c r="L760">
        <f t="shared" ca="1" si="13"/>
        <v>140.95792789662892</v>
      </c>
      <c r="M760">
        <f ca="1">IF(L760&lt;=0,0,10^(MultiLogRegr1stWeek!$B$17+LOG10(L760)*MultiLogRegr1stWeek!$B$18+MultiLogRegr1stWeek!$B$19*14+MultiLogRegr1stWeek!$B$20*0))</f>
        <v>62.237696405994321</v>
      </c>
      <c r="U760">
        <v>758</v>
      </c>
      <c r="V760">
        <v>356</v>
      </c>
      <c r="W760">
        <v>168</v>
      </c>
    </row>
    <row r="761" spans="11:23" x14ac:dyDescent="0.3">
      <c r="K761">
        <v>760</v>
      </c>
      <c r="L761">
        <f t="shared" ca="1" si="13"/>
        <v>653.47409471874323</v>
      </c>
      <c r="M761">
        <f ca="1">IF(L761&lt;=0,0,10^(MultiLogRegr1stWeek!$B$17+LOG10(L761)*MultiLogRegr1stWeek!$B$18+MultiLogRegr1stWeek!$B$19*14+MultiLogRegr1stWeek!$B$20*0))</f>
        <v>298.02933899683541</v>
      </c>
      <c r="U761">
        <v>759</v>
      </c>
      <c r="V761">
        <v>357</v>
      </c>
      <c r="W761">
        <v>169</v>
      </c>
    </row>
    <row r="762" spans="11:23" x14ac:dyDescent="0.3">
      <c r="K762">
        <v>761</v>
      </c>
      <c r="L762">
        <f t="shared" ca="1" si="13"/>
        <v>320.78395114094667</v>
      </c>
      <c r="M762">
        <f ca="1">IF(L762&lt;=0,0,10^(MultiLogRegr1stWeek!$B$17+LOG10(L762)*MultiLogRegr1stWeek!$B$18+MultiLogRegr1stWeek!$B$19*14+MultiLogRegr1stWeek!$B$20*0))</f>
        <v>144.11788823695986</v>
      </c>
      <c r="U762">
        <v>760</v>
      </c>
      <c r="V762">
        <v>339</v>
      </c>
      <c r="W762">
        <v>162</v>
      </c>
    </row>
    <row r="763" spans="11:23" x14ac:dyDescent="0.3">
      <c r="K763">
        <v>762</v>
      </c>
      <c r="L763">
        <f t="shared" ca="1" si="13"/>
        <v>389.57347930946764</v>
      </c>
      <c r="M763">
        <f ca="1">IF(L763&lt;=0,0,10^(MultiLogRegr1stWeek!$B$17+LOG10(L763)*MultiLogRegr1stWeek!$B$18+MultiLogRegr1stWeek!$B$19*14+MultiLogRegr1stWeek!$B$20*0))</f>
        <v>175.74233741136496</v>
      </c>
      <c r="U763">
        <v>761</v>
      </c>
      <c r="V763">
        <v>346</v>
      </c>
      <c r="W763">
        <v>166</v>
      </c>
    </row>
    <row r="764" spans="11:23" x14ac:dyDescent="0.3">
      <c r="K764">
        <v>763</v>
      </c>
      <c r="L764">
        <f t="shared" ca="1" si="13"/>
        <v>513.332366584836</v>
      </c>
      <c r="M764">
        <f ca="1">IF(L764&lt;=0,0,10^(MultiLogRegr1stWeek!$B$17+LOG10(L764)*MultiLogRegr1stWeek!$B$18+MultiLogRegr1stWeek!$B$19*14+MultiLogRegr1stWeek!$B$20*0))</f>
        <v>232.92474905288816</v>
      </c>
      <c r="U764">
        <v>762</v>
      </c>
      <c r="V764">
        <v>348</v>
      </c>
      <c r="W764">
        <v>165</v>
      </c>
    </row>
    <row r="765" spans="11:23" x14ac:dyDescent="0.3">
      <c r="K765">
        <v>764</v>
      </c>
      <c r="L765">
        <f t="shared" ca="1" si="13"/>
        <v>537.88541985058623</v>
      </c>
      <c r="M765">
        <f ca="1">IF(L765&lt;=0,0,10^(MultiLogRegr1stWeek!$B$17+LOG10(L765)*MultiLogRegr1stWeek!$B$18+MultiLogRegr1stWeek!$B$19*14+MultiLogRegr1stWeek!$B$20*0))</f>
        <v>244.30662350114935</v>
      </c>
      <c r="U765">
        <v>763</v>
      </c>
      <c r="V765">
        <v>347</v>
      </c>
      <c r="W765">
        <v>165</v>
      </c>
    </row>
    <row r="766" spans="11:23" x14ac:dyDescent="0.3">
      <c r="K766">
        <v>765</v>
      </c>
      <c r="L766">
        <f t="shared" ca="1" si="13"/>
        <v>439.04289529002961</v>
      </c>
      <c r="M766">
        <f ca="1">IF(L766&lt;=0,0,10^(MultiLogRegr1stWeek!$B$17+LOG10(L766)*MultiLogRegr1stWeek!$B$18+MultiLogRegr1stWeek!$B$19*14+MultiLogRegr1stWeek!$B$20*0))</f>
        <v>198.55932810781434</v>
      </c>
      <c r="U766">
        <v>764</v>
      </c>
      <c r="V766">
        <v>328</v>
      </c>
      <c r="W766">
        <v>159</v>
      </c>
    </row>
    <row r="767" spans="11:23" x14ac:dyDescent="0.3">
      <c r="K767">
        <v>766</v>
      </c>
      <c r="L767">
        <f t="shared" ca="1" si="13"/>
        <v>181.00201714873975</v>
      </c>
      <c r="M767">
        <f ca="1">IF(L767&lt;=0,0,10^(MultiLogRegr1stWeek!$B$17+LOG10(L767)*MultiLogRegr1stWeek!$B$18+MultiLogRegr1stWeek!$B$19*14+MultiLogRegr1stWeek!$B$20*0))</f>
        <v>80.34161554010862</v>
      </c>
      <c r="U767">
        <v>765</v>
      </c>
      <c r="V767">
        <v>315</v>
      </c>
      <c r="W767">
        <v>154</v>
      </c>
    </row>
    <row r="768" spans="11:23" x14ac:dyDescent="0.3">
      <c r="K768">
        <v>767</v>
      </c>
      <c r="L768">
        <f t="shared" ca="1" si="13"/>
        <v>517.07402090160144</v>
      </c>
      <c r="M768">
        <f ca="1">IF(L768&lt;=0,0,10^(MultiLogRegr1stWeek!$B$17+LOG10(L768)*MultiLogRegr1stWeek!$B$18+MultiLogRegr1stWeek!$B$19*14+MultiLogRegr1stWeek!$B$20*0))</f>
        <v>234.65851058271025</v>
      </c>
      <c r="U768">
        <v>766</v>
      </c>
      <c r="V768">
        <v>338</v>
      </c>
      <c r="W768">
        <v>162</v>
      </c>
    </row>
    <row r="769" spans="11:23" x14ac:dyDescent="0.3">
      <c r="K769">
        <v>768</v>
      </c>
      <c r="L769">
        <f t="shared" ca="1" si="13"/>
        <v>172.15473920866023</v>
      </c>
      <c r="M769">
        <f ca="1">IF(L769&lt;=0,0,10^(MultiLogRegr1stWeek!$B$17+LOG10(L769)*MultiLogRegr1stWeek!$B$18+MultiLogRegr1stWeek!$B$19*14+MultiLogRegr1stWeek!$B$20*0))</f>
        <v>76.333739044699385</v>
      </c>
      <c r="U769">
        <v>767</v>
      </c>
      <c r="V769">
        <v>325</v>
      </c>
      <c r="W769">
        <v>157</v>
      </c>
    </row>
    <row r="770" spans="11:23" x14ac:dyDescent="0.3">
      <c r="K770">
        <v>769</v>
      </c>
      <c r="L770">
        <f t="shared" ca="1" si="13"/>
        <v>490.42637208973792</v>
      </c>
      <c r="M770">
        <f ca="1">IF(L770&lt;=0,0,10^(MultiLogRegr1stWeek!$B$17+LOG10(L770)*MultiLogRegr1stWeek!$B$18+MultiLogRegr1stWeek!$B$19*14+MultiLogRegr1stWeek!$B$20*0))</f>
        <v>222.31674194162417</v>
      </c>
      <c r="U770">
        <v>768</v>
      </c>
      <c r="V770">
        <v>338</v>
      </c>
      <c r="W770">
        <v>163</v>
      </c>
    </row>
    <row r="771" spans="11:23" x14ac:dyDescent="0.3">
      <c r="K771">
        <v>770</v>
      </c>
      <c r="L771">
        <f t="shared" ref="L771:L834" ca="1" si="14">_xlfn.NORM.INV(RAND(),$S$3,$S$2)</f>
        <v>406.64947705052248</v>
      </c>
      <c r="M771">
        <f ca="1">IF(L771&lt;=0,0,10^(MultiLogRegr1stWeek!$B$17+LOG10(L771)*MultiLogRegr1stWeek!$B$18+MultiLogRegr1stWeek!$B$19*14+MultiLogRegr1stWeek!$B$20*0))</f>
        <v>183.61182772306546</v>
      </c>
      <c r="U771">
        <v>769</v>
      </c>
      <c r="V771">
        <v>328</v>
      </c>
      <c r="W771">
        <v>158</v>
      </c>
    </row>
    <row r="772" spans="11:23" x14ac:dyDescent="0.3">
      <c r="K772">
        <v>771</v>
      </c>
      <c r="L772">
        <f t="shared" ca="1" si="14"/>
        <v>197.26163024517308</v>
      </c>
      <c r="M772">
        <f ca="1">IF(L772&lt;=0,0,10^(MultiLogRegr1stWeek!$B$17+LOG10(L772)*MultiLogRegr1stWeek!$B$18+MultiLogRegr1stWeek!$B$19*14+MultiLogRegr1stWeek!$B$20*0))</f>
        <v>87.717988861785813</v>
      </c>
      <c r="U772">
        <v>770</v>
      </c>
      <c r="V772">
        <v>345</v>
      </c>
      <c r="W772">
        <v>165</v>
      </c>
    </row>
    <row r="773" spans="11:23" x14ac:dyDescent="0.3">
      <c r="K773">
        <v>772</v>
      </c>
      <c r="L773">
        <f t="shared" ca="1" si="14"/>
        <v>482.09173329409361</v>
      </c>
      <c r="M773">
        <f ca="1">IF(L773&lt;=0,0,10^(MultiLogRegr1stWeek!$B$17+LOG10(L773)*MultiLogRegr1stWeek!$B$18+MultiLogRegr1stWeek!$B$19*14+MultiLogRegr1stWeek!$B$20*0))</f>
        <v>218.45945332069118</v>
      </c>
      <c r="U773">
        <v>771</v>
      </c>
      <c r="V773">
        <v>329</v>
      </c>
      <c r="W773">
        <v>158</v>
      </c>
    </row>
    <row r="774" spans="11:23" x14ac:dyDescent="0.3">
      <c r="K774">
        <v>773</v>
      </c>
      <c r="L774">
        <f t="shared" ca="1" si="14"/>
        <v>1076.7878956934601</v>
      </c>
      <c r="M774">
        <f ca="1">IF(L774&lt;=0,0,10^(MultiLogRegr1stWeek!$B$17+LOG10(L774)*MultiLogRegr1stWeek!$B$18+MultiLogRegr1stWeek!$B$19*14+MultiLogRegr1stWeek!$B$20*0))</f>
        <v>496.29631922574748</v>
      </c>
      <c r="U774">
        <v>772</v>
      </c>
      <c r="V774">
        <v>341</v>
      </c>
      <c r="W774">
        <v>163</v>
      </c>
    </row>
    <row r="775" spans="11:23" x14ac:dyDescent="0.3">
      <c r="K775">
        <v>774</v>
      </c>
      <c r="L775">
        <f t="shared" ca="1" si="14"/>
        <v>567.45548039835114</v>
      </c>
      <c r="M775">
        <f ca="1">IF(L775&lt;=0,0,10^(MultiLogRegr1stWeek!$B$17+LOG10(L775)*MultiLogRegr1stWeek!$B$18+MultiLogRegr1stWeek!$B$19*14+MultiLogRegr1stWeek!$B$20*0))</f>
        <v>258.02872609983257</v>
      </c>
      <c r="U775">
        <v>773</v>
      </c>
      <c r="V775">
        <v>349</v>
      </c>
      <c r="W775">
        <v>166</v>
      </c>
    </row>
    <row r="776" spans="11:23" x14ac:dyDescent="0.3">
      <c r="K776">
        <v>775</v>
      </c>
      <c r="L776">
        <f t="shared" ca="1" si="14"/>
        <v>224.05334292408668</v>
      </c>
      <c r="M776">
        <f ca="1">IF(L776&lt;=0,0,10^(MultiLogRegr1stWeek!$B$17+LOG10(L776)*MultiLogRegr1stWeek!$B$18+MultiLogRegr1stWeek!$B$19*14+MultiLogRegr1stWeek!$B$20*0))</f>
        <v>99.899983019646925</v>
      </c>
      <c r="U776">
        <v>774</v>
      </c>
      <c r="V776">
        <v>328</v>
      </c>
      <c r="W776">
        <v>158</v>
      </c>
    </row>
    <row r="777" spans="11:23" x14ac:dyDescent="0.3">
      <c r="K777">
        <v>776</v>
      </c>
      <c r="L777">
        <f t="shared" ca="1" si="14"/>
        <v>986.72041342814043</v>
      </c>
      <c r="M777">
        <f ca="1">IF(L777&lt;=0,0,10^(MultiLogRegr1stWeek!$B$17+LOG10(L777)*MultiLogRegr1stWeek!$B$18+MultiLogRegr1stWeek!$B$19*14+MultiLogRegr1stWeek!$B$20*0))</f>
        <v>453.94571288359464</v>
      </c>
      <c r="U777">
        <v>775</v>
      </c>
      <c r="V777">
        <v>352</v>
      </c>
      <c r="W777">
        <v>167</v>
      </c>
    </row>
    <row r="778" spans="11:23" x14ac:dyDescent="0.3">
      <c r="K778">
        <v>777</v>
      </c>
      <c r="L778">
        <f t="shared" ca="1" si="14"/>
        <v>642.51421450189548</v>
      </c>
      <c r="M778">
        <f ca="1">IF(L778&lt;=0,0,10^(MultiLogRegr1stWeek!$B$17+LOG10(L778)*MultiLogRegr1stWeek!$B$18+MultiLogRegr1stWeek!$B$19*14+MultiLogRegr1stWeek!$B$20*0))</f>
        <v>292.92623422549087</v>
      </c>
      <c r="U778">
        <v>776</v>
      </c>
      <c r="V778">
        <v>347</v>
      </c>
      <c r="W778">
        <v>165</v>
      </c>
    </row>
    <row r="779" spans="11:23" x14ac:dyDescent="0.3">
      <c r="K779">
        <v>778</v>
      </c>
      <c r="L779">
        <f t="shared" ca="1" si="14"/>
        <v>978.43028833008179</v>
      </c>
      <c r="M779">
        <f ca="1">IF(L779&lt;=0,0,10^(MultiLogRegr1stWeek!$B$17+LOG10(L779)*MultiLogRegr1stWeek!$B$18+MultiLogRegr1stWeek!$B$19*14+MultiLogRegr1stWeek!$B$20*0))</f>
        <v>450.05160815753737</v>
      </c>
      <c r="U779">
        <v>777</v>
      </c>
      <c r="V779">
        <v>342</v>
      </c>
      <c r="W779">
        <v>162</v>
      </c>
    </row>
    <row r="780" spans="11:23" x14ac:dyDescent="0.3">
      <c r="K780">
        <v>779</v>
      </c>
      <c r="L780">
        <f t="shared" ca="1" si="14"/>
        <v>-73.407579255673568</v>
      </c>
      <c r="M780">
        <f ca="1">IF(L780&lt;=0,0,10^(MultiLogRegr1stWeek!$B$17+LOG10(L780)*MultiLogRegr1stWeek!$B$18+MultiLogRegr1stWeek!$B$19*14+MultiLogRegr1stWeek!$B$20*0))</f>
        <v>0</v>
      </c>
      <c r="U780">
        <v>778</v>
      </c>
      <c r="V780">
        <v>349</v>
      </c>
      <c r="W780">
        <v>167</v>
      </c>
    </row>
    <row r="781" spans="11:23" x14ac:dyDescent="0.3">
      <c r="K781">
        <v>780</v>
      </c>
      <c r="L781">
        <f t="shared" ca="1" si="14"/>
        <v>757.70787226437369</v>
      </c>
      <c r="M781">
        <f ca="1">IF(L781&lt;=0,0,10^(MultiLogRegr1stWeek!$B$17+LOG10(L781)*MultiLogRegr1stWeek!$B$18+MultiLogRegr1stWeek!$B$19*14+MultiLogRegr1stWeek!$B$20*0))</f>
        <v>346.64878670366204</v>
      </c>
      <c r="U781">
        <v>779</v>
      </c>
      <c r="V781">
        <v>327</v>
      </c>
      <c r="W781">
        <v>157</v>
      </c>
    </row>
    <row r="782" spans="11:23" x14ac:dyDescent="0.3">
      <c r="K782">
        <v>781</v>
      </c>
      <c r="L782">
        <f t="shared" ca="1" si="14"/>
        <v>487.83950961413535</v>
      </c>
      <c r="M782">
        <f ca="1">IF(L782&lt;=0,0,10^(MultiLogRegr1stWeek!$B$17+LOG10(L782)*MultiLogRegr1stWeek!$B$18+MultiLogRegr1stWeek!$B$19*14+MultiLogRegr1stWeek!$B$20*0))</f>
        <v>221.11938720810656</v>
      </c>
      <c r="U782">
        <v>780</v>
      </c>
      <c r="V782">
        <v>348</v>
      </c>
      <c r="W782">
        <v>166</v>
      </c>
    </row>
    <row r="783" spans="11:23" x14ac:dyDescent="0.3">
      <c r="K783">
        <v>782</v>
      </c>
      <c r="L783">
        <f t="shared" ca="1" si="14"/>
        <v>277.14457343606267</v>
      </c>
      <c r="M783">
        <f ca="1">IF(L783&lt;=0,0,10^(MultiLogRegr1stWeek!$B$17+LOG10(L783)*MultiLogRegr1stWeek!$B$18+MultiLogRegr1stWeek!$B$19*14+MultiLogRegr1stWeek!$B$20*0))</f>
        <v>124.12823943585938</v>
      </c>
      <c r="U783">
        <v>781</v>
      </c>
      <c r="V783">
        <v>327</v>
      </c>
      <c r="W783">
        <v>158</v>
      </c>
    </row>
    <row r="784" spans="11:23" x14ac:dyDescent="0.3">
      <c r="K784">
        <v>783</v>
      </c>
      <c r="L784">
        <f t="shared" ca="1" si="14"/>
        <v>-56.091721556341952</v>
      </c>
      <c r="M784">
        <f ca="1">IF(L784&lt;=0,0,10^(MultiLogRegr1stWeek!$B$17+LOG10(L784)*MultiLogRegr1stWeek!$B$18+MultiLogRegr1stWeek!$B$19*14+MultiLogRegr1stWeek!$B$20*0))</f>
        <v>0</v>
      </c>
      <c r="U784">
        <v>782</v>
      </c>
      <c r="V784">
        <v>342</v>
      </c>
      <c r="W784">
        <v>163</v>
      </c>
    </row>
    <row r="785" spans="11:23" x14ac:dyDescent="0.3">
      <c r="K785">
        <v>784</v>
      </c>
      <c r="L785">
        <f t="shared" ca="1" si="14"/>
        <v>721.01233212623242</v>
      </c>
      <c r="M785">
        <f ca="1">IF(L785&lt;=0,0,10^(MultiLogRegr1stWeek!$B$17+LOG10(L785)*MultiLogRegr1stWeek!$B$18+MultiLogRegr1stWeek!$B$19*14+MultiLogRegr1stWeek!$B$20*0))</f>
        <v>329.51510026504849</v>
      </c>
      <c r="U785">
        <v>783</v>
      </c>
      <c r="V785">
        <v>337</v>
      </c>
      <c r="W785">
        <v>162</v>
      </c>
    </row>
    <row r="786" spans="11:23" x14ac:dyDescent="0.3">
      <c r="K786">
        <v>785</v>
      </c>
      <c r="L786">
        <f t="shared" ca="1" si="14"/>
        <v>811.79104067844617</v>
      </c>
      <c r="M786">
        <f ca="1">IF(L786&lt;=0,0,10^(MultiLogRegr1stWeek!$B$17+LOG10(L786)*MultiLogRegr1stWeek!$B$18+MultiLogRegr1stWeek!$B$19*14+MultiLogRegr1stWeek!$B$20*0))</f>
        <v>371.93275255580221</v>
      </c>
      <c r="U786">
        <v>784</v>
      </c>
      <c r="V786">
        <v>329</v>
      </c>
      <c r="W786">
        <v>158</v>
      </c>
    </row>
    <row r="787" spans="11:23" x14ac:dyDescent="0.3">
      <c r="K787">
        <v>786</v>
      </c>
      <c r="L787">
        <f t="shared" ca="1" si="14"/>
        <v>179.65405515801658</v>
      </c>
      <c r="M787">
        <f ca="1">IF(L787&lt;=0,0,10^(MultiLogRegr1stWeek!$B$17+LOG10(L787)*MultiLogRegr1stWeek!$B$18+MultiLogRegr1stWeek!$B$19*14+MultiLogRegr1stWeek!$B$20*0))</f>
        <v>79.730707376328112</v>
      </c>
      <c r="U787">
        <v>785</v>
      </c>
      <c r="V787">
        <v>327</v>
      </c>
      <c r="W787">
        <v>156</v>
      </c>
    </row>
    <row r="788" spans="11:23" x14ac:dyDescent="0.3">
      <c r="K788">
        <v>787</v>
      </c>
      <c r="L788">
        <f t="shared" ca="1" si="14"/>
        <v>459.2112050836858</v>
      </c>
      <c r="M788">
        <f ca="1">IF(L788&lt;=0,0,10^(MultiLogRegr1stWeek!$B$17+LOG10(L788)*MultiLogRegr1stWeek!$B$18+MultiLogRegr1stWeek!$B$19*14+MultiLogRegr1stWeek!$B$20*0))</f>
        <v>207.87760729994565</v>
      </c>
      <c r="U788">
        <v>786</v>
      </c>
      <c r="V788">
        <v>336</v>
      </c>
      <c r="W788">
        <v>162</v>
      </c>
    </row>
    <row r="789" spans="11:23" x14ac:dyDescent="0.3">
      <c r="K789">
        <v>788</v>
      </c>
      <c r="L789">
        <f t="shared" ca="1" si="14"/>
        <v>276.67764656958582</v>
      </c>
      <c r="M789">
        <f ca="1">IF(L789&lt;=0,0,10^(MultiLogRegr1stWeek!$B$17+LOG10(L789)*MultiLogRegr1stWeek!$B$18+MultiLogRegr1stWeek!$B$19*14+MultiLogRegr1stWeek!$B$20*0))</f>
        <v>123.91469870726552</v>
      </c>
      <c r="U789">
        <v>787</v>
      </c>
      <c r="V789">
        <v>333</v>
      </c>
      <c r="W789">
        <v>160</v>
      </c>
    </row>
    <row r="790" spans="11:23" x14ac:dyDescent="0.3">
      <c r="K790">
        <v>789</v>
      </c>
      <c r="L790">
        <f t="shared" ca="1" si="14"/>
        <v>421.44087364696804</v>
      </c>
      <c r="M790">
        <f ca="1">IF(L790&lt;=0,0,10^(MultiLogRegr1stWeek!$B$17+LOG10(L790)*MultiLogRegr1stWeek!$B$18+MultiLogRegr1stWeek!$B$19*14+MultiLogRegr1stWeek!$B$20*0))</f>
        <v>190.43411183011787</v>
      </c>
      <c r="U790">
        <v>788</v>
      </c>
      <c r="V790">
        <v>345</v>
      </c>
      <c r="W790">
        <v>164</v>
      </c>
    </row>
    <row r="791" spans="11:23" x14ac:dyDescent="0.3">
      <c r="K791">
        <v>790</v>
      </c>
      <c r="L791">
        <f t="shared" ca="1" si="14"/>
        <v>85.684984655634935</v>
      </c>
      <c r="M791">
        <f ca="1">IF(L791&lt;=0,0,10^(MultiLogRegr1stWeek!$B$17+LOG10(L791)*MultiLogRegr1stWeek!$B$18+MultiLogRegr1stWeek!$B$19*14+MultiLogRegr1stWeek!$B$20*0))</f>
        <v>37.437222572983167</v>
      </c>
      <c r="U791">
        <v>789</v>
      </c>
      <c r="V791">
        <v>336</v>
      </c>
      <c r="W791">
        <v>162</v>
      </c>
    </row>
    <row r="792" spans="11:23" x14ac:dyDescent="0.3">
      <c r="K792">
        <v>791</v>
      </c>
      <c r="L792">
        <f t="shared" ca="1" si="14"/>
        <v>242.818333155765</v>
      </c>
      <c r="M792">
        <f ca="1">IF(L792&lt;=0,0,10^(MultiLogRegr1stWeek!$B$17+LOG10(L792)*MultiLogRegr1stWeek!$B$18+MultiLogRegr1stWeek!$B$19*14+MultiLogRegr1stWeek!$B$20*0))</f>
        <v>108.45087652991219</v>
      </c>
      <c r="U792">
        <v>790</v>
      </c>
      <c r="V792">
        <v>333</v>
      </c>
      <c r="W792">
        <v>159</v>
      </c>
    </row>
    <row r="793" spans="11:23" x14ac:dyDescent="0.3">
      <c r="K793">
        <v>792</v>
      </c>
      <c r="L793">
        <f t="shared" ca="1" si="14"/>
        <v>-161.22154227010657</v>
      </c>
      <c r="M793">
        <f ca="1">IF(L793&lt;=0,0,10^(MultiLogRegr1stWeek!$B$17+LOG10(L793)*MultiLogRegr1stWeek!$B$18+MultiLogRegr1stWeek!$B$19*14+MultiLogRegr1stWeek!$B$20*0))</f>
        <v>0</v>
      </c>
      <c r="U793">
        <v>791</v>
      </c>
      <c r="V793">
        <v>332</v>
      </c>
      <c r="W793">
        <v>160</v>
      </c>
    </row>
    <row r="794" spans="11:23" x14ac:dyDescent="0.3">
      <c r="K794">
        <v>793</v>
      </c>
      <c r="L794">
        <f t="shared" ca="1" si="14"/>
        <v>261.96134274595124</v>
      </c>
      <c r="M794">
        <f ca="1">IF(L794&lt;=0,0,10^(MultiLogRegr1stWeek!$B$17+LOG10(L794)*MultiLogRegr1stWeek!$B$18+MultiLogRegr1stWeek!$B$19*14+MultiLogRegr1stWeek!$B$20*0))</f>
        <v>117.18842473161456</v>
      </c>
      <c r="U794">
        <v>792</v>
      </c>
      <c r="V794">
        <v>325</v>
      </c>
      <c r="W794">
        <v>159</v>
      </c>
    </row>
    <row r="795" spans="11:23" x14ac:dyDescent="0.3">
      <c r="K795">
        <v>794</v>
      </c>
      <c r="L795">
        <f t="shared" ca="1" si="14"/>
        <v>659.25968857649104</v>
      </c>
      <c r="M795">
        <f ca="1">IF(L795&lt;=0,0,10^(MultiLogRegr1stWeek!$B$17+LOG10(L795)*MultiLogRegr1stWeek!$B$18+MultiLogRegr1stWeek!$B$19*14+MultiLogRegr1stWeek!$B$20*0))</f>
        <v>300.72393980838723</v>
      </c>
      <c r="U795">
        <v>793</v>
      </c>
      <c r="V795">
        <v>347</v>
      </c>
      <c r="W795">
        <v>166</v>
      </c>
    </row>
    <row r="796" spans="11:23" x14ac:dyDescent="0.3">
      <c r="K796">
        <v>795</v>
      </c>
      <c r="L796">
        <f t="shared" ca="1" si="14"/>
        <v>199.60850323927923</v>
      </c>
      <c r="M796">
        <f ca="1">IF(L796&lt;=0,0,10^(MultiLogRegr1stWeek!$B$17+LOG10(L796)*MultiLogRegr1stWeek!$B$18+MultiLogRegr1stWeek!$B$19*14+MultiLogRegr1stWeek!$B$20*0))</f>
        <v>88.783763412676933</v>
      </c>
      <c r="U796">
        <v>794</v>
      </c>
      <c r="V796">
        <v>350</v>
      </c>
      <c r="W796">
        <v>169</v>
      </c>
    </row>
    <row r="797" spans="11:23" x14ac:dyDescent="0.3">
      <c r="K797">
        <v>796</v>
      </c>
      <c r="L797">
        <f t="shared" ca="1" si="14"/>
        <v>706.68935158478916</v>
      </c>
      <c r="M797">
        <f ca="1">IF(L797&lt;=0,0,10^(MultiLogRegr1stWeek!$B$17+LOG10(L797)*MultiLogRegr1stWeek!$B$18+MultiLogRegr1stWeek!$B$19*14+MultiLogRegr1stWeek!$B$20*0))</f>
        <v>322.83243505195503</v>
      </c>
      <c r="U797">
        <v>795</v>
      </c>
      <c r="V797">
        <v>339</v>
      </c>
      <c r="W797">
        <v>163</v>
      </c>
    </row>
    <row r="798" spans="11:23" x14ac:dyDescent="0.3">
      <c r="K798">
        <v>797</v>
      </c>
      <c r="L798">
        <f t="shared" ca="1" si="14"/>
        <v>339.59629645351527</v>
      </c>
      <c r="M798">
        <f ca="1">IF(L798&lt;=0,0,10^(MultiLogRegr1stWeek!$B$17+LOG10(L798)*MultiLogRegr1stWeek!$B$18+MultiLogRegr1stWeek!$B$19*14+MultiLogRegr1stWeek!$B$20*0))</f>
        <v>152.75338647523444</v>
      </c>
      <c r="U798">
        <v>796</v>
      </c>
      <c r="V798">
        <v>320</v>
      </c>
      <c r="W798">
        <v>154</v>
      </c>
    </row>
    <row r="799" spans="11:23" x14ac:dyDescent="0.3">
      <c r="K799">
        <v>798</v>
      </c>
      <c r="L799">
        <f t="shared" ca="1" si="14"/>
        <v>615.24758318316231</v>
      </c>
      <c r="M799">
        <f ca="1">IF(L799&lt;=0,0,10^(MultiLogRegr1stWeek!$B$17+LOG10(L799)*MultiLogRegr1stWeek!$B$18+MultiLogRegr1stWeek!$B$19*14+MultiLogRegr1stWeek!$B$20*0))</f>
        <v>280.23847310382399</v>
      </c>
      <c r="U799">
        <v>797</v>
      </c>
      <c r="V799">
        <v>339</v>
      </c>
      <c r="W799">
        <v>163</v>
      </c>
    </row>
    <row r="800" spans="11:23" x14ac:dyDescent="0.3">
      <c r="K800">
        <v>799</v>
      </c>
      <c r="L800">
        <f t="shared" ca="1" si="14"/>
        <v>1056.0096049775329</v>
      </c>
      <c r="M800">
        <f ca="1">IF(L800&lt;=0,0,10^(MultiLogRegr1stWeek!$B$17+LOG10(L800)*MultiLogRegr1stWeek!$B$18+MultiLogRegr1stWeek!$B$19*14+MultiLogRegr1stWeek!$B$20*0))</f>
        <v>486.51928752622445</v>
      </c>
      <c r="U800">
        <v>798</v>
      </c>
      <c r="V800">
        <v>341</v>
      </c>
      <c r="W800">
        <v>163</v>
      </c>
    </row>
    <row r="801" spans="11:23" x14ac:dyDescent="0.3">
      <c r="K801">
        <v>800</v>
      </c>
      <c r="L801">
        <f t="shared" ca="1" si="14"/>
        <v>272.05396509795582</v>
      </c>
      <c r="M801">
        <f ca="1">IF(L801&lt;=0,0,10^(MultiLogRegr1stWeek!$B$17+LOG10(L801)*MultiLogRegr1stWeek!$B$18+MultiLogRegr1stWeek!$B$19*14+MultiLogRegr1stWeek!$B$20*0))</f>
        <v>121.8005527213267</v>
      </c>
      <c r="U801">
        <v>799</v>
      </c>
      <c r="V801">
        <v>346</v>
      </c>
      <c r="W801">
        <v>165</v>
      </c>
    </row>
    <row r="802" spans="11:23" x14ac:dyDescent="0.3">
      <c r="K802">
        <v>801</v>
      </c>
      <c r="L802">
        <f t="shared" ca="1" si="14"/>
        <v>108.12040626428868</v>
      </c>
      <c r="M802">
        <f ca="1">IF(L802&lt;=0,0,10^(MultiLogRegr1stWeek!$B$17+LOG10(L802)*MultiLogRegr1stWeek!$B$18+MultiLogRegr1stWeek!$B$19*14+MultiLogRegr1stWeek!$B$20*0))</f>
        <v>47.472206032669469</v>
      </c>
      <c r="U802">
        <v>800</v>
      </c>
      <c r="V802">
        <v>344</v>
      </c>
      <c r="W802">
        <v>163</v>
      </c>
    </row>
    <row r="803" spans="11:23" x14ac:dyDescent="0.3">
      <c r="K803">
        <v>802</v>
      </c>
      <c r="L803">
        <f t="shared" ca="1" si="14"/>
        <v>330.60395116266301</v>
      </c>
      <c r="M803">
        <f ca="1">IF(L803&lt;=0,0,10^(MultiLogRegr1stWeek!$B$17+LOG10(L803)*MultiLogRegr1stWeek!$B$18+MultiLogRegr1stWeek!$B$19*14+MultiLogRegr1stWeek!$B$20*0))</f>
        <v>148.62430220446169</v>
      </c>
      <c r="U803">
        <v>801</v>
      </c>
      <c r="V803">
        <v>334</v>
      </c>
      <c r="W803">
        <v>159</v>
      </c>
    </row>
    <row r="804" spans="11:23" x14ac:dyDescent="0.3">
      <c r="K804">
        <v>803</v>
      </c>
      <c r="L804">
        <f t="shared" ca="1" si="14"/>
        <v>82.100831288946239</v>
      </c>
      <c r="M804">
        <f ca="1">IF(L804&lt;=0,0,10^(MultiLogRegr1stWeek!$B$17+LOG10(L804)*MultiLogRegr1stWeek!$B$18+MultiLogRegr1stWeek!$B$19*14+MultiLogRegr1stWeek!$B$20*0))</f>
        <v>35.838893016978147</v>
      </c>
      <c r="U804">
        <v>802</v>
      </c>
      <c r="V804">
        <v>335</v>
      </c>
      <c r="W804">
        <v>161</v>
      </c>
    </row>
    <row r="805" spans="11:23" x14ac:dyDescent="0.3">
      <c r="K805">
        <v>804</v>
      </c>
      <c r="L805">
        <f t="shared" ca="1" si="14"/>
        <v>343.05601177396602</v>
      </c>
      <c r="M805">
        <f ca="1">IF(L805&lt;=0,0,10^(MultiLogRegr1stWeek!$B$17+LOG10(L805)*MultiLogRegr1stWeek!$B$18+MultiLogRegr1stWeek!$B$19*14+MultiLogRegr1stWeek!$B$20*0))</f>
        <v>154.34262906417305</v>
      </c>
      <c r="U805">
        <v>803</v>
      </c>
      <c r="V805">
        <v>344</v>
      </c>
      <c r="W805">
        <v>164</v>
      </c>
    </row>
    <row r="806" spans="11:23" x14ac:dyDescent="0.3">
      <c r="K806">
        <v>805</v>
      </c>
      <c r="L806">
        <f t="shared" ca="1" si="14"/>
        <v>966.06646923980065</v>
      </c>
      <c r="M806">
        <f ca="1">IF(L806&lt;=0,0,10^(MultiLogRegr1stWeek!$B$17+LOG10(L806)*MultiLogRegr1stWeek!$B$18+MultiLogRegr1stWeek!$B$19*14+MultiLogRegr1stWeek!$B$20*0))</f>
        <v>444.24527095240751</v>
      </c>
      <c r="U806">
        <v>804</v>
      </c>
      <c r="V806">
        <v>343</v>
      </c>
      <c r="W806">
        <v>164</v>
      </c>
    </row>
    <row r="807" spans="11:23" x14ac:dyDescent="0.3">
      <c r="K807">
        <v>806</v>
      </c>
      <c r="L807">
        <f t="shared" ca="1" si="14"/>
        <v>263.09333585990004</v>
      </c>
      <c r="M807">
        <f ca="1">IF(L807&lt;=0,0,10^(MultiLogRegr1stWeek!$B$17+LOG10(L807)*MultiLogRegr1stWeek!$B$18+MultiLogRegr1stWeek!$B$19*14+MultiLogRegr1stWeek!$B$20*0))</f>
        <v>117.70553891543264</v>
      </c>
      <c r="U807">
        <v>805</v>
      </c>
      <c r="V807">
        <v>341</v>
      </c>
      <c r="W807">
        <v>163</v>
      </c>
    </row>
    <row r="808" spans="11:23" x14ac:dyDescent="0.3">
      <c r="K808">
        <v>807</v>
      </c>
      <c r="L808">
        <f t="shared" ca="1" si="14"/>
        <v>1109.9987565600695</v>
      </c>
      <c r="M808">
        <f ca="1">IF(L808&lt;=0,0,10^(MultiLogRegr1stWeek!$B$17+LOG10(L808)*MultiLogRegr1stWeek!$B$18+MultiLogRegr1stWeek!$B$19*14+MultiLogRegr1stWeek!$B$20*0))</f>
        <v>511.93162555448998</v>
      </c>
      <c r="U808">
        <v>806</v>
      </c>
      <c r="V808">
        <v>338</v>
      </c>
      <c r="W808">
        <v>160</v>
      </c>
    </row>
    <row r="809" spans="11:23" x14ac:dyDescent="0.3">
      <c r="K809">
        <v>808</v>
      </c>
      <c r="L809">
        <f t="shared" ca="1" si="14"/>
        <v>137.96408635366748</v>
      </c>
      <c r="M809">
        <f ca="1">IF(L809&lt;=0,0,10^(MultiLogRegr1stWeek!$B$17+LOG10(L809)*MultiLogRegr1stWeek!$B$18+MultiLogRegr1stWeek!$B$19*14+MultiLogRegr1stWeek!$B$20*0))</f>
        <v>60.888205074438275</v>
      </c>
      <c r="U809">
        <v>807</v>
      </c>
      <c r="V809">
        <v>343</v>
      </c>
      <c r="W809">
        <v>164</v>
      </c>
    </row>
    <row r="810" spans="11:23" x14ac:dyDescent="0.3">
      <c r="K810">
        <v>809</v>
      </c>
      <c r="L810">
        <f t="shared" ca="1" si="14"/>
        <v>598.88681855236086</v>
      </c>
      <c r="M810">
        <f ca="1">IF(L810&lt;=0,0,10^(MultiLogRegr1stWeek!$B$17+LOG10(L810)*MultiLogRegr1stWeek!$B$18+MultiLogRegr1stWeek!$B$19*14+MultiLogRegr1stWeek!$B$20*0))</f>
        <v>272.63111636280814</v>
      </c>
      <c r="U810">
        <v>808</v>
      </c>
      <c r="V810">
        <v>336</v>
      </c>
      <c r="W810">
        <v>162</v>
      </c>
    </row>
    <row r="811" spans="11:23" x14ac:dyDescent="0.3">
      <c r="K811">
        <v>810</v>
      </c>
      <c r="L811">
        <f t="shared" ca="1" si="14"/>
        <v>223.79133218698018</v>
      </c>
      <c r="M811">
        <f ca="1">IF(L811&lt;=0,0,10^(MultiLogRegr1stWeek!$B$17+LOG10(L811)*MultiLogRegr1stWeek!$B$18+MultiLogRegr1stWeek!$B$19*14+MultiLogRegr1stWeek!$B$20*0))</f>
        <v>99.780693282637046</v>
      </c>
      <c r="U811">
        <v>809</v>
      </c>
      <c r="V811">
        <v>335</v>
      </c>
      <c r="W811">
        <v>161</v>
      </c>
    </row>
    <row r="812" spans="11:23" x14ac:dyDescent="0.3">
      <c r="K812">
        <v>811</v>
      </c>
      <c r="L812">
        <f t="shared" ca="1" si="14"/>
        <v>41.568546057295066</v>
      </c>
      <c r="M812">
        <f ca="1">IF(L812&lt;=0,0,10^(MultiLogRegr1stWeek!$B$17+LOG10(L812)*MultiLogRegr1stWeek!$B$18+MultiLogRegr1stWeek!$B$19*14+MultiLogRegr1stWeek!$B$20*0))</f>
        <v>17.886696636004139</v>
      </c>
      <c r="U812">
        <v>810</v>
      </c>
      <c r="V812">
        <v>337</v>
      </c>
      <c r="W812">
        <v>161</v>
      </c>
    </row>
    <row r="813" spans="11:23" x14ac:dyDescent="0.3">
      <c r="K813">
        <v>812</v>
      </c>
      <c r="L813">
        <f t="shared" ca="1" si="14"/>
        <v>414.19679189221915</v>
      </c>
      <c r="M813">
        <f ca="1">IF(L813&lt;=0,0,10^(MultiLogRegr1stWeek!$B$17+LOG10(L813)*MultiLogRegr1stWeek!$B$18+MultiLogRegr1stWeek!$B$19*14+MultiLogRegr1stWeek!$B$20*0))</f>
        <v>187.09225736317245</v>
      </c>
      <c r="U813">
        <v>811</v>
      </c>
      <c r="V813">
        <v>354</v>
      </c>
      <c r="W813">
        <v>168</v>
      </c>
    </row>
    <row r="814" spans="11:23" x14ac:dyDescent="0.3">
      <c r="K814">
        <v>813</v>
      </c>
      <c r="L814">
        <f t="shared" ca="1" si="14"/>
        <v>301.22326014765576</v>
      </c>
      <c r="M814">
        <f ca="1">IF(L814&lt;=0,0,10^(MultiLogRegr1stWeek!$B$17+LOG10(L814)*MultiLogRegr1stWeek!$B$18+MultiLogRegr1stWeek!$B$19*14+MultiLogRegr1stWeek!$B$20*0))</f>
        <v>135.15022316746604</v>
      </c>
      <c r="U814">
        <v>812</v>
      </c>
      <c r="V814">
        <v>343</v>
      </c>
      <c r="W814">
        <v>164</v>
      </c>
    </row>
    <row r="815" spans="11:23" x14ac:dyDescent="0.3">
      <c r="K815">
        <v>814</v>
      </c>
      <c r="L815">
        <f t="shared" ca="1" si="14"/>
        <v>271.29271078172599</v>
      </c>
      <c r="M815">
        <f ca="1">IF(L815&lt;=0,0,10^(MultiLogRegr1stWeek!$B$17+LOG10(L815)*MultiLogRegr1stWeek!$B$18+MultiLogRegr1stWeek!$B$19*14+MultiLogRegr1stWeek!$B$20*0))</f>
        <v>121.45254691132341</v>
      </c>
      <c r="U815">
        <v>813</v>
      </c>
      <c r="V815">
        <v>335</v>
      </c>
      <c r="W815">
        <v>159</v>
      </c>
    </row>
    <row r="816" spans="11:23" x14ac:dyDescent="0.3">
      <c r="K816">
        <v>815</v>
      </c>
      <c r="L816">
        <f t="shared" ca="1" si="14"/>
        <v>-102.60351520835593</v>
      </c>
      <c r="M816">
        <f ca="1">IF(L816&lt;=0,0,10^(MultiLogRegr1stWeek!$B$17+LOG10(L816)*MultiLogRegr1stWeek!$B$18+MultiLogRegr1stWeek!$B$19*14+MultiLogRegr1stWeek!$B$20*0))</f>
        <v>0</v>
      </c>
      <c r="U816">
        <v>814</v>
      </c>
      <c r="V816">
        <v>335</v>
      </c>
      <c r="W816">
        <v>162</v>
      </c>
    </row>
    <row r="817" spans="11:23" x14ac:dyDescent="0.3">
      <c r="K817">
        <v>816</v>
      </c>
      <c r="L817">
        <f t="shared" ca="1" si="14"/>
        <v>343.56344198797598</v>
      </c>
      <c r="M817">
        <f ca="1">IF(L817&lt;=0,0,10^(MultiLogRegr1stWeek!$B$17+LOG10(L817)*MultiLogRegr1stWeek!$B$18+MultiLogRegr1stWeek!$B$19*14+MultiLogRegr1stWeek!$B$20*0))</f>
        <v>154.57574895534088</v>
      </c>
      <c r="U817">
        <v>815</v>
      </c>
      <c r="V817">
        <v>338</v>
      </c>
      <c r="W817">
        <v>162</v>
      </c>
    </row>
    <row r="818" spans="11:23" x14ac:dyDescent="0.3">
      <c r="K818">
        <v>817</v>
      </c>
      <c r="L818">
        <f t="shared" ca="1" si="14"/>
        <v>-3.5168102976255682</v>
      </c>
      <c r="M818">
        <f ca="1">IF(L818&lt;=0,0,10^(MultiLogRegr1stWeek!$B$17+LOG10(L818)*MultiLogRegr1stWeek!$B$18+MultiLogRegr1stWeek!$B$19*14+MultiLogRegr1stWeek!$B$20*0))</f>
        <v>0</v>
      </c>
      <c r="U818">
        <v>816</v>
      </c>
      <c r="V818">
        <v>323</v>
      </c>
      <c r="W818">
        <v>157</v>
      </c>
    </row>
    <row r="819" spans="11:23" x14ac:dyDescent="0.3">
      <c r="K819">
        <v>818</v>
      </c>
      <c r="L819">
        <f t="shared" ca="1" si="14"/>
        <v>-11.625882461533877</v>
      </c>
      <c r="M819">
        <f ca="1">IF(L819&lt;=0,0,10^(MultiLogRegr1stWeek!$B$17+LOG10(L819)*MultiLogRegr1stWeek!$B$18+MultiLogRegr1stWeek!$B$19*14+MultiLogRegr1stWeek!$B$20*0))</f>
        <v>0</v>
      </c>
      <c r="U819">
        <v>817</v>
      </c>
      <c r="V819">
        <v>350</v>
      </c>
      <c r="W819">
        <v>167</v>
      </c>
    </row>
    <row r="820" spans="11:23" x14ac:dyDescent="0.3">
      <c r="K820">
        <v>819</v>
      </c>
      <c r="L820">
        <f t="shared" ca="1" si="14"/>
        <v>751.08795966051048</v>
      </c>
      <c r="M820">
        <f ca="1">IF(L820&lt;=0,0,10^(MultiLogRegr1stWeek!$B$17+LOG10(L820)*MultiLogRegr1stWeek!$B$18+MultiLogRegr1stWeek!$B$19*14+MultiLogRegr1stWeek!$B$20*0))</f>
        <v>343.55653147291383</v>
      </c>
      <c r="U820">
        <v>818</v>
      </c>
      <c r="V820">
        <v>343</v>
      </c>
      <c r="W820">
        <v>165</v>
      </c>
    </row>
    <row r="821" spans="11:23" x14ac:dyDescent="0.3">
      <c r="K821">
        <v>820</v>
      </c>
      <c r="L821">
        <f t="shared" ca="1" si="14"/>
        <v>206.87206663971196</v>
      </c>
      <c r="M821">
        <f ca="1">IF(L821&lt;=0,0,10^(MultiLogRegr1stWeek!$B$17+LOG10(L821)*MultiLogRegr1stWeek!$B$18+MultiLogRegr1stWeek!$B$19*14+MultiLogRegr1stWeek!$B$20*0))</f>
        <v>92.083995600204659</v>
      </c>
      <c r="U821">
        <v>819</v>
      </c>
      <c r="V821">
        <v>337</v>
      </c>
      <c r="W821">
        <v>163</v>
      </c>
    </row>
    <row r="822" spans="11:23" x14ac:dyDescent="0.3">
      <c r="K822">
        <v>821</v>
      </c>
      <c r="L822">
        <f t="shared" ca="1" si="14"/>
        <v>487.93481884098208</v>
      </c>
      <c r="M822">
        <f ca="1">IF(L822&lt;=0,0,10^(MultiLogRegr1stWeek!$B$17+LOG10(L822)*MultiLogRegr1stWeek!$B$18+MultiLogRegr1stWeek!$B$19*14+MultiLogRegr1stWeek!$B$20*0))</f>
        <v>221.16349964643589</v>
      </c>
      <c r="U822">
        <v>820</v>
      </c>
      <c r="V822">
        <v>332</v>
      </c>
      <c r="W822">
        <v>159</v>
      </c>
    </row>
    <row r="823" spans="11:23" x14ac:dyDescent="0.3">
      <c r="K823">
        <v>822</v>
      </c>
      <c r="L823">
        <f t="shared" ca="1" si="14"/>
        <v>401.2816844779407</v>
      </c>
      <c r="M823">
        <f ca="1">IF(L823&lt;=0,0,10^(MultiLogRegr1stWeek!$B$17+LOG10(L823)*MultiLogRegr1stWeek!$B$18+MultiLogRegr1stWeek!$B$19*14+MultiLogRegr1stWeek!$B$20*0))</f>
        <v>181.13730904496546</v>
      </c>
      <c r="U823">
        <v>821</v>
      </c>
      <c r="V823">
        <v>335</v>
      </c>
      <c r="W823">
        <v>163</v>
      </c>
    </row>
    <row r="824" spans="11:23" x14ac:dyDescent="0.3">
      <c r="K824">
        <v>823</v>
      </c>
      <c r="L824">
        <f t="shared" ca="1" si="14"/>
        <v>139.8331231915765</v>
      </c>
      <c r="M824">
        <f ca="1">IF(L824&lt;=0,0,10^(MultiLogRegr1stWeek!$B$17+LOG10(L824)*MultiLogRegr1stWeek!$B$18+MultiLogRegr1stWeek!$B$19*14+MultiLogRegr1stWeek!$B$20*0))</f>
        <v>61.7306125200708</v>
      </c>
      <c r="U824">
        <v>822</v>
      </c>
      <c r="V824">
        <v>336</v>
      </c>
      <c r="W824">
        <v>161</v>
      </c>
    </row>
    <row r="825" spans="11:23" x14ac:dyDescent="0.3">
      <c r="K825">
        <v>824</v>
      </c>
      <c r="L825">
        <f t="shared" ca="1" si="14"/>
        <v>770.28472155753889</v>
      </c>
      <c r="M825">
        <f ca="1">IF(L825&lt;=0,0,10^(MultiLogRegr1stWeek!$B$17+LOG10(L825)*MultiLogRegr1stWeek!$B$18+MultiLogRegr1stWeek!$B$19*14+MultiLogRegr1stWeek!$B$20*0))</f>
        <v>352.52517937041426</v>
      </c>
      <c r="U825">
        <v>823</v>
      </c>
      <c r="V825">
        <v>340</v>
      </c>
      <c r="W825">
        <v>163</v>
      </c>
    </row>
    <row r="826" spans="11:23" x14ac:dyDescent="0.3">
      <c r="K826">
        <v>825</v>
      </c>
      <c r="L826">
        <f t="shared" ca="1" si="14"/>
        <v>495.70404160276723</v>
      </c>
      <c r="M826">
        <f ca="1">IF(L826&lt;=0,0,10^(MultiLogRegr1stWeek!$B$17+LOG10(L826)*MultiLogRegr1stWeek!$B$18+MultiLogRegr1stWeek!$B$19*14+MultiLogRegr1stWeek!$B$20*0))</f>
        <v>224.75997606510128</v>
      </c>
      <c r="U826">
        <v>824</v>
      </c>
      <c r="V826">
        <v>329</v>
      </c>
      <c r="W826">
        <v>159</v>
      </c>
    </row>
    <row r="827" spans="11:23" x14ac:dyDescent="0.3">
      <c r="K827">
        <v>826</v>
      </c>
      <c r="L827">
        <f t="shared" ca="1" si="14"/>
        <v>757.35298478539698</v>
      </c>
      <c r="M827">
        <f ca="1">IF(L827&lt;=0,0,10^(MultiLogRegr1stWeek!$B$17+LOG10(L827)*MultiLogRegr1stWeek!$B$18+MultiLogRegr1stWeek!$B$19*14+MultiLogRegr1stWeek!$B$20*0))</f>
        <v>346.48299920304839</v>
      </c>
      <c r="U827">
        <v>825</v>
      </c>
      <c r="V827">
        <v>351</v>
      </c>
      <c r="W827">
        <v>168</v>
      </c>
    </row>
    <row r="828" spans="11:23" x14ac:dyDescent="0.3">
      <c r="K828">
        <v>827</v>
      </c>
      <c r="L828">
        <f t="shared" ca="1" si="14"/>
        <v>538.75508231471895</v>
      </c>
      <c r="M828">
        <f ca="1">IF(L828&lt;=0,0,10^(MultiLogRegr1stWeek!$B$17+LOG10(L828)*MultiLogRegr1stWeek!$B$18+MultiLogRegr1stWeek!$B$19*14+MultiLogRegr1stWeek!$B$20*0))</f>
        <v>244.70997063473658</v>
      </c>
      <c r="U828">
        <v>826</v>
      </c>
      <c r="V828">
        <v>334</v>
      </c>
      <c r="W828">
        <v>161</v>
      </c>
    </row>
    <row r="829" spans="11:23" x14ac:dyDescent="0.3">
      <c r="K829">
        <v>828</v>
      </c>
      <c r="L829">
        <f t="shared" ca="1" si="14"/>
        <v>424.17955807432384</v>
      </c>
      <c r="M829">
        <f ca="1">IF(L829&lt;=0,0,10^(MultiLogRegr1stWeek!$B$17+LOG10(L829)*MultiLogRegr1stWeek!$B$18+MultiLogRegr1stWeek!$B$19*14+MultiLogRegr1stWeek!$B$20*0))</f>
        <v>191.69784442610933</v>
      </c>
      <c r="U829">
        <v>827</v>
      </c>
      <c r="V829">
        <v>355</v>
      </c>
      <c r="W829">
        <v>170</v>
      </c>
    </row>
    <row r="830" spans="11:23" x14ac:dyDescent="0.3">
      <c r="K830">
        <v>829</v>
      </c>
      <c r="L830">
        <f t="shared" ca="1" si="14"/>
        <v>54.474287726161208</v>
      </c>
      <c r="M830">
        <f ca="1">IF(L830&lt;=0,0,10^(MultiLogRegr1stWeek!$B$17+LOG10(L830)*MultiLogRegr1stWeek!$B$18+MultiLogRegr1stWeek!$B$19*14+MultiLogRegr1stWeek!$B$20*0))</f>
        <v>23.574176442781784</v>
      </c>
      <c r="U830">
        <v>828</v>
      </c>
      <c r="V830">
        <v>341</v>
      </c>
      <c r="W830">
        <v>162</v>
      </c>
    </row>
    <row r="831" spans="11:23" x14ac:dyDescent="0.3">
      <c r="K831">
        <v>830</v>
      </c>
      <c r="L831">
        <f t="shared" ca="1" si="14"/>
        <v>452.91672098197949</v>
      </c>
      <c r="M831">
        <f ca="1">IF(L831&lt;=0,0,10^(MultiLogRegr1stWeek!$B$17+LOG10(L831)*MultiLogRegr1stWeek!$B$18+MultiLogRegr1stWeek!$B$19*14+MultiLogRegr1stWeek!$B$20*0))</f>
        <v>204.968447329778</v>
      </c>
      <c r="U831">
        <v>829</v>
      </c>
      <c r="V831">
        <v>341</v>
      </c>
      <c r="W831">
        <v>163</v>
      </c>
    </row>
    <row r="832" spans="11:23" x14ac:dyDescent="0.3">
      <c r="K832">
        <v>831</v>
      </c>
      <c r="L832">
        <f t="shared" ca="1" si="14"/>
        <v>-5.1123733894165753</v>
      </c>
      <c r="M832">
        <f ca="1">IF(L832&lt;=0,0,10^(MultiLogRegr1stWeek!$B$17+LOG10(L832)*MultiLogRegr1stWeek!$B$18+MultiLogRegr1stWeek!$B$19*14+MultiLogRegr1stWeek!$B$20*0))</f>
        <v>0</v>
      </c>
      <c r="U832">
        <v>830</v>
      </c>
      <c r="V832">
        <v>326</v>
      </c>
      <c r="W832">
        <v>157</v>
      </c>
    </row>
    <row r="833" spans="11:23" x14ac:dyDescent="0.3">
      <c r="K833">
        <v>832</v>
      </c>
      <c r="L833">
        <f t="shared" ca="1" si="14"/>
        <v>504.56887660275481</v>
      </c>
      <c r="M833">
        <f ca="1">IF(L833&lt;=0,0,10^(MultiLogRegr1stWeek!$B$17+LOG10(L833)*MultiLogRegr1stWeek!$B$18+MultiLogRegr1stWeek!$B$19*14+MultiLogRegr1stWeek!$B$20*0))</f>
        <v>228.86507912619604</v>
      </c>
      <c r="U833">
        <v>831</v>
      </c>
      <c r="V833">
        <v>334</v>
      </c>
      <c r="W833">
        <v>161</v>
      </c>
    </row>
    <row r="834" spans="11:23" x14ac:dyDescent="0.3">
      <c r="K834">
        <v>833</v>
      </c>
      <c r="L834">
        <f t="shared" ca="1" si="14"/>
        <v>244.91939916686437</v>
      </c>
      <c r="M834">
        <f ca="1">IF(L834&lt;=0,0,10^(MultiLogRegr1stWeek!$B$17+LOG10(L834)*MultiLogRegr1stWeek!$B$18+MultiLogRegr1stWeek!$B$19*14+MultiLogRegr1stWeek!$B$20*0))</f>
        <v>109.40918697983702</v>
      </c>
      <c r="U834">
        <v>832</v>
      </c>
      <c r="V834">
        <v>339</v>
      </c>
      <c r="W834">
        <v>163</v>
      </c>
    </row>
    <row r="835" spans="11:23" x14ac:dyDescent="0.3">
      <c r="K835">
        <v>834</v>
      </c>
      <c r="L835">
        <f t="shared" ref="L835:L898" ca="1" si="15">_xlfn.NORM.INV(RAND(),$S$3,$S$2)</f>
        <v>352.96182902224041</v>
      </c>
      <c r="M835">
        <f ca="1">IF(L835&lt;=0,0,10^(MultiLogRegr1stWeek!$B$17+LOG10(L835)*MultiLogRegr1stWeek!$B$18+MultiLogRegr1stWeek!$B$19*14+MultiLogRegr1stWeek!$B$20*0))</f>
        <v>158.89479093163982</v>
      </c>
      <c r="U835">
        <v>833</v>
      </c>
      <c r="V835">
        <v>333</v>
      </c>
      <c r="W835">
        <v>159</v>
      </c>
    </row>
    <row r="836" spans="11:23" x14ac:dyDescent="0.3">
      <c r="K836">
        <v>835</v>
      </c>
      <c r="L836">
        <f t="shared" ca="1" si="15"/>
        <v>309.37783939522382</v>
      </c>
      <c r="M836">
        <f ca="1">IF(L836&lt;=0,0,10^(MultiLogRegr1stWeek!$B$17+LOG10(L836)*MultiLogRegr1stWeek!$B$18+MultiLogRegr1stWeek!$B$19*14+MultiLogRegr1stWeek!$B$20*0))</f>
        <v>138.88726729037521</v>
      </c>
      <c r="U836">
        <v>834</v>
      </c>
      <c r="V836">
        <v>338</v>
      </c>
      <c r="W836">
        <v>161</v>
      </c>
    </row>
    <row r="837" spans="11:23" x14ac:dyDescent="0.3">
      <c r="K837">
        <v>836</v>
      </c>
      <c r="L837">
        <f t="shared" ca="1" si="15"/>
        <v>945.6802861155154</v>
      </c>
      <c r="M837">
        <f ca="1">IF(L837&lt;=0,0,10^(MultiLogRegr1stWeek!$B$17+LOG10(L837)*MultiLogRegr1stWeek!$B$18+MultiLogRegr1stWeek!$B$19*14+MultiLogRegr1stWeek!$B$20*0))</f>
        <v>434.67488066756596</v>
      </c>
      <c r="U837">
        <v>835</v>
      </c>
      <c r="V837">
        <v>352</v>
      </c>
      <c r="W837">
        <v>169</v>
      </c>
    </row>
    <row r="838" spans="11:23" x14ac:dyDescent="0.3">
      <c r="K838">
        <v>837</v>
      </c>
      <c r="L838">
        <f t="shared" ca="1" si="15"/>
        <v>263.43180412378689</v>
      </c>
      <c r="M838">
        <f ca="1">IF(L838&lt;=0,0,10^(MultiLogRegr1stWeek!$B$17+LOG10(L838)*MultiLogRegr1stWeek!$B$18+MultiLogRegr1stWeek!$B$19*14+MultiLogRegr1stWeek!$B$20*0))</f>
        <v>117.8601662512238</v>
      </c>
      <c r="U838">
        <v>836</v>
      </c>
      <c r="V838">
        <v>336</v>
      </c>
      <c r="W838">
        <v>162</v>
      </c>
    </row>
    <row r="839" spans="11:23" x14ac:dyDescent="0.3">
      <c r="K839">
        <v>838</v>
      </c>
      <c r="L839">
        <f t="shared" ca="1" si="15"/>
        <v>465.28864456936839</v>
      </c>
      <c r="M839">
        <f ca="1">IF(L839&lt;=0,0,10^(MultiLogRegr1stWeek!$B$17+LOG10(L839)*MultiLogRegr1stWeek!$B$18+MultiLogRegr1stWeek!$B$19*14+MultiLogRegr1stWeek!$B$20*0))</f>
        <v>210.68725370690314</v>
      </c>
      <c r="U839">
        <v>837</v>
      </c>
      <c r="V839">
        <v>349</v>
      </c>
      <c r="W839">
        <v>165</v>
      </c>
    </row>
    <row r="840" spans="11:23" x14ac:dyDescent="0.3">
      <c r="K840">
        <v>839</v>
      </c>
      <c r="L840">
        <f t="shared" ca="1" si="15"/>
        <v>281.1499595050276</v>
      </c>
      <c r="M840">
        <f ca="1">IF(L840&lt;=0,0,10^(MultiLogRegr1stWeek!$B$17+LOG10(L840)*MultiLogRegr1stWeek!$B$18+MultiLogRegr1stWeek!$B$19*14+MultiLogRegr1stWeek!$B$20*0))</f>
        <v>125.96034259786832</v>
      </c>
      <c r="U840">
        <v>838</v>
      </c>
      <c r="V840">
        <v>332</v>
      </c>
      <c r="W840">
        <v>161</v>
      </c>
    </row>
    <row r="841" spans="11:23" x14ac:dyDescent="0.3">
      <c r="K841">
        <v>840</v>
      </c>
      <c r="L841">
        <f t="shared" ca="1" si="15"/>
        <v>307.97343589617321</v>
      </c>
      <c r="M841">
        <f ca="1">IF(L841&lt;=0,0,10^(MultiLogRegr1stWeek!$B$17+LOG10(L841)*MultiLogRegr1stWeek!$B$18+MultiLogRegr1stWeek!$B$19*14+MultiLogRegr1stWeek!$B$20*0))</f>
        <v>138.24351371053351</v>
      </c>
      <c r="U841">
        <v>839</v>
      </c>
      <c r="V841">
        <v>324</v>
      </c>
      <c r="W841">
        <v>156</v>
      </c>
    </row>
    <row r="842" spans="11:23" x14ac:dyDescent="0.3">
      <c r="K842">
        <v>841</v>
      </c>
      <c r="L842">
        <f t="shared" ca="1" si="15"/>
        <v>372.22922048136917</v>
      </c>
      <c r="M842">
        <f ca="1">IF(L842&lt;=0,0,10^(MultiLogRegr1stWeek!$B$17+LOG10(L842)*MultiLogRegr1stWeek!$B$18+MultiLogRegr1stWeek!$B$19*14+MultiLogRegr1stWeek!$B$20*0))</f>
        <v>167.75667586758098</v>
      </c>
      <c r="U842">
        <v>840</v>
      </c>
      <c r="V842">
        <v>327</v>
      </c>
      <c r="W842">
        <v>157</v>
      </c>
    </row>
    <row r="843" spans="11:23" x14ac:dyDescent="0.3">
      <c r="K843">
        <v>842</v>
      </c>
      <c r="L843">
        <f t="shared" ca="1" si="15"/>
        <v>491.30188025243905</v>
      </c>
      <c r="M843">
        <f ca="1">IF(L843&lt;=0,0,10^(MultiLogRegr1stWeek!$B$17+LOG10(L843)*MultiLogRegr1stWeek!$B$18+MultiLogRegr1stWeek!$B$19*14+MultiLogRegr1stWeek!$B$20*0))</f>
        <v>222.72200974663517</v>
      </c>
      <c r="U843">
        <v>841</v>
      </c>
      <c r="V843">
        <v>336</v>
      </c>
      <c r="W843">
        <v>161</v>
      </c>
    </row>
    <row r="844" spans="11:23" x14ac:dyDescent="0.3">
      <c r="K844">
        <v>843</v>
      </c>
      <c r="L844">
        <f t="shared" ca="1" si="15"/>
        <v>498.98935236649066</v>
      </c>
      <c r="M844">
        <f ca="1">IF(L844&lt;=0,0,10^(MultiLogRegr1stWeek!$B$17+LOG10(L844)*MultiLogRegr1stWeek!$B$18+MultiLogRegr1stWeek!$B$19*14+MultiLogRegr1stWeek!$B$20*0))</f>
        <v>226.28114927336702</v>
      </c>
      <c r="U844">
        <v>842</v>
      </c>
      <c r="V844">
        <v>335</v>
      </c>
      <c r="W844">
        <v>160</v>
      </c>
    </row>
    <row r="845" spans="11:23" x14ac:dyDescent="0.3">
      <c r="K845">
        <v>844</v>
      </c>
      <c r="L845">
        <f t="shared" ca="1" si="15"/>
        <v>199.55210721343377</v>
      </c>
      <c r="M845">
        <f ca="1">IF(L845&lt;=0,0,10^(MultiLogRegr1stWeek!$B$17+LOG10(L845)*MultiLogRegr1stWeek!$B$18+MultiLogRegr1stWeek!$B$19*14+MultiLogRegr1stWeek!$B$20*0))</f>
        <v>88.758149431412861</v>
      </c>
      <c r="U845">
        <v>843</v>
      </c>
      <c r="V845">
        <v>350</v>
      </c>
      <c r="W845">
        <v>167</v>
      </c>
    </row>
    <row r="846" spans="11:23" x14ac:dyDescent="0.3">
      <c r="K846">
        <v>845</v>
      </c>
      <c r="L846">
        <f t="shared" ca="1" si="15"/>
        <v>186.5987050381303</v>
      </c>
      <c r="M846">
        <f ca="1">IF(L846&lt;=0,0,10^(MultiLogRegr1stWeek!$B$17+LOG10(L846)*MultiLogRegr1stWeek!$B$18+MultiLogRegr1stWeek!$B$19*14+MultiLogRegr1stWeek!$B$20*0))</f>
        <v>82.879103303054393</v>
      </c>
      <c r="U846">
        <v>844</v>
      </c>
      <c r="V846">
        <v>343</v>
      </c>
      <c r="W846">
        <v>163</v>
      </c>
    </row>
    <row r="847" spans="11:23" x14ac:dyDescent="0.3">
      <c r="K847">
        <v>846</v>
      </c>
      <c r="L847">
        <f t="shared" ca="1" si="15"/>
        <v>0.50243170994338016</v>
      </c>
      <c r="M847">
        <f ca="1">IF(L847&lt;=0,0,10^(MultiLogRegr1stWeek!$B$17+LOG10(L847)*MultiLogRegr1stWeek!$B$18+MultiLogRegr1stWeek!$B$19*14+MultiLogRegr1stWeek!$B$20*0))</f>
        <v>0.19694599325685291</v>
      </c>
      <c r="U847">
        <v>845</v>
      </c>
      <c r="V847">
        <v>325</v>
      </c>
      <c r="W847">
        <v>156</v>
      </c>
    </row>
    <row r="848" spans="11:23" x14ac:dyDescent="0.3">
      <c r="K848">
        <v>847</v>
      </c>
      <c r="L848">
        <f t="shared" ca="1" si="15"/>
        <v>354.00675512849381</v>
      </c>
      <c r="M848">
        <f ca="1">IF(L848&lt;=0,0,10^(MultiLogRegr1stWeek!$B$17+LOG10(L848)*MultiLogRegr1stWeek!$B$18+MultiLogRegr1stWeek!$B$19*14+MultiLogRegr1stWeek!$B$20*0))</f>
        <v>159.37513942200655</v>
      </c>
      <c r="U848">
        <v>846</v>
      </c>
      <c r="V848">
        <v>327</v>
      </c>
      <c r="W848">
        <v>157</v>
      </c>
    </row>
    <row r="849" spans="11:23" x14ac:dyDescent="0.3">
      <c r="K849">
        <v>848</v>
      </c>
      <c r="L849">
        <f t="shared" ca="1" si="15"/>
        <v>334.48951484261221</v>
      </c>
      <c r="M849">
        <f ca="1">IF(L849&lt;=0,0,10^(MultiLogRegr1stWeek!$B$17+LOG10(L849)*MultiLogRegr1stWeek!$B$18+MultiLogRegr1stWeek!$B$19*14+MultiLogRegr1stWeek!$B$20*0))</f>
        <v>150.40817907067546</v>
      </c>
      <c r="U849">
        <v>847</v>
      </c>
      <c r="V849">
        <v>343</v>
      </c>
      <c r="W849">
        <v>165</v>
      </c>
    </row>
    <row r="850" spans="11:23" x14ac:dyDescent="0.3">
      <c r="K850">
        <v>849</v>
      </c>
      <c r="L850">
        <f t="shared" ca="1" si="15"/>
        <v>349.29573076192554</v>
      </c>
      <c r="M850">
        <f ca="1">IF(L850&lt;=0,0,10^(MultiLogRegr1stWeek!$B$17+LOG10(L850)*MultiLogRegr1stWeek!$B$18+MultiLogRegr1stWeek!$B$19*14+MultiLogRegr1stWeek!$B$20*0))</f>
        <v>157.2097378063952</v>
      </c>
      <c r="U850">
        <v>848</v>
      </c>
      <c r="V850">
        <v>325</v>
      </c>
      <c r="W850">
        <v>158</v>
      </c>
    </row>
    <row r="851" spans="11:23" x14ac:dyDescent="0.3">
      <c r="K851">
        <v>850</v>
      </c>
      <c r="L851">
        <f t="shared" ca="1" si="15"/>
        <v>228.55980513637599</v>
      </c>
      <c r="M851">
        <f ca="1">IF(L851&lt;=0,0,10^(MultiLogRegr1stWeek!$B$17+LOG10(L851)*MultiLogRegr1stWeek!$B$18+MultiLogRegr1stWeek!$B$19*14+MultiLogRegr1stWeek!$B$20*0))</f>
        <v>101.95216896808452</v>
      </c>
      <c r="U851">
        <v>849</v>
      </c>
      <c r="V851">
        <v>328</v>
      </c>
      <c r="W851">
        <v>158</v>
      </c>
    </row>
    <row r="852" spans="11:23" x14ac:dyDescent="0.3">
      <c r="K852">
        <v>851</v>
      </c>
      <c r="L852">
        <f t="shared" ca="1" si="15"/>
        <v>365.09331071496268</v>
      </c>
      <c r="M852">
        <f ca="1">IF(L852&lt;=0,0,10^(MultiLogRegr1stWeek!$B$17+LOG10(L852)*MultiLogRegr1stWeek!$B$18+MultiLogRegr1stWeek!$B$19*14+MultiLogRegr1stWeek!$B$20*0))</f>
        <v>164.47341342478435</v>
      </c>
      <c r="U852">
        <v>850</v>
      </c>
      <c r="V852">
        <v>338</v>
      </c>
      <c r="W852">
        <v>162</v>
      </c>
    </row>
    <row r="853" spans="11:23" x14ac:dyDescent="0.3">
      <c r="K853">
        <v>852</v>
      </c>
      <c r="L853">
        <f t="shared" ca="1" si="15"/>
        <v>73.221166587545383</v>
      </c>
      <c r="M853">
        <f ca="1">IF(L853&lt;=0,0,10^(MultiLogRegr1stWeek!$B$17+LOG10(L853)*MultiLogRegr1stWeek!$B$18+MultiLogRegr1stWeek!$B$19*14+MultiLogRegr1stWeek!$B$20*0))</f>
        <v>31.885552519515148</v>
      </c>
      <c r="U853">
        <v>851</v>
      </c>
      <c r="V853">
        <v>317</v>
      </c>
      <c r="W853">
        <v>155</v>
      </c>
    </row>
    <row r="854" spans="11:23" x14ac:dyDescent="0.3">
      <c r="K854">
        <v>853</v>
      </c>
      <c r="L854">
        <f t="shared" ca="1" si="15"/>
        <v>279.19736920021342</v>
      </c>
      <c r="M854">
        <f ca="1">IF(L854&lt;=0,0,10^(MultiLogRegr1stWeek!$B$17+LOG10(L854)*MultiLogRegr1stWeek!$B$18+MultiLogRegr1stWeek!$B$19*14+MultiLogRegr1stWeek!$B$20*0))</f>
        <v>125.06713915739365</v>
      </c>
      <c r="U854">
        <v>852</v>
      </c>
      <c r="V854">
        <v>337</v>
      </c>
      <c r="W854">
        <v>161</v>
      </c>
    </row>
    <row r="855" spans="11:23" x14ac:dyDescent="0.3">
      <c r="K855">
        <v>854</v>
      </c>
      <c r="L855">
        <f t="shared" ca="1" si="15"/>
        <v>567.92418107775609</v>
      </c>
      <c r="M855">
        <f ca="1">IF(L855&lt;=0,0,10^(MultiLogRegr1stWeek!$B$17+LOG10(L855)*MultiLogRegr1stWeek!$B$18+MultiLogRegr1stWeek!$B$19*14+MultiLogRegr1stWeek!$B$20*0))</f>
        <v>258.24635221180364</v>
      </c>
      <c r="U855">
        <v>853</v>
      </c>
      <c r="V855">
        <v>328</v>
      </c>
      <c r="W855">
        <v>158</v>
      </c>
    </row>
    <row r="856" spans="11:23" x14ac:dyDescent="0.3">
      <c r="K856">
        <v>855</v>
      </c>
      <c r="L856">
        <f t="shared" ca="1" si="15"/>
        <v>873.26832175705897</v>
      </c>
      <c r="M856">
        <f ca="1">IF(L856&lt;=0,0,10^(MultiLogRegr1stWeek!$B$17+LOG10(L856)*MultiLogRegr1stWeek!$B$18+MultiLogRegr1stWeek!$B$19*14+MultiLogRegr1stWeek!$B$20*0))</f>
        <v>400.71661320669108</v>
      </c>
      <c r="U856">
        <v>854</v>
      </c>
      <c r="V856">
        <v>335</v>
      </c>
      <c r="W856">
        <v>162</v>
      </c>
    </row>
    <row r="857" spans="11:23" x14ac:dyDescent="0.3">
      <c r="K857">
        <v>856</v>
      </c>
      <c r="L857">
        <f t="shared" ca="1" si="15"/>
        <v>668.09708859379975</v>
      </c>
      <c r="M857">
        <f ca="1">IF(L857&lt;=0,0,10^(MultiLogRegr1stWeek!$B$17+LOG10(L857)*MultiLogRegr1stWeek!$B$18+MultiLogRegr1stWeek!$B$19*14+MultiLogRegr1stWeek!$B$20*0))</f>
        <v>304.84086107557283</v>
      </c>
      <c r="U857">
        <v>855</v>
      </c>
      <c r="V857">
        <v>349</v>
      </c>
      <c r="W857">
        <v>167</v>
      </c>
    </row>
    <row r="858" spans="11:23" x14ac:dyDescent="0.3">
      <c r="K858">
        <v>857</v>
      </c>
      <c r="L858">
        <f t="shared" ca="1" si="15"/>
        <v>493.27367889595394</v>
      </c>
      <c r="M858">
        <f ca="1">IF(L858&lt;=0,0,10^(MultiLogRegr1stWeek!$B$17+LOG10(L858)*MultiLogRegr1stWeek!$B$18+MultiLogRegr1stWeek!$B$19*14+MultiLogRegr1stWeek!$B$20*0))</f>
        <v>223.63480006097183</v>
      </c>
      <c r="U858">
        <v>856</v>
      </c>
      <c r="V858">
        <v>352</v>
      </c>
      <c r="W858">
        <v>166</v>
      </c>
    </row>
    <row r="859" spans="11:23" x14ac:dyDescent="0.3">
      <c r="K859">
        <v>858</v>
      </c>
      <c r="L859">
        <f t="shared" ca="1" si="15"/>
        <v>727.78179860721207</v>
      </c>
      <c r="M859">
        <f ca="1">IF(L859&lt;=0,0,10^(MultiLogRegr1stWeek!$B$17+LOG10(L859)*MultiLogRegr1stWeek!$B$18+MultiLogRegr1stWeek!$B$19*14+MultiLogRegr1stWeek!$B$20*0))</f>
        <v>332.67450568712894</v>
      </c>
      <c r="U859">
        <v>857</v>
      </c>
      <c r="V859">
        <v>345</v>
      </c>
      <c r="W859">
        <v>164</v>
      </c>
    </row>
    <row r="860" spans="11:23" x14ac:dyDescent="0.3">
      <c r="K860">
        <v>859</v>
      </c>
      <c r="L860">
        <f t="shared" ca="1" si="15"/>
        <v>252.71805575675955</v>
      </c>
      <c r="M860">
        <f ca="1">IF(L860&lt;=0,0,10^(MultiLogRegr1stWeek!$B$17+LOG10(L860)*MultiLogRegr1stWeek!$B$18+MultiLogRegr1stWeek!$B$19*14+MultiLogRegr1stWeek!$B$20*0))</f>
        <v>112.9677139593651</v>
      </c>
      <c r="U860">
        <v>858</v>
      </c>
      <c r="V860">
        <v>343</v>
      </c>
      <c r="W860">
        <v>163</v>
      </c>
    </row>
    <row r="861" spans="11:23" x14ac:dyDescent="0.3">
      <c r="K861">
        <v>860</v>
      </c>
      <c r="L861">
        <f t="shared" ca="1" si="15"/>
        <v>483.92345592643369</v>
      </c>
      <c r="M861">
        <f ca="1">IF(L861&lt;=0,0,10^(MultiLogRegr1stWeek!$B$17+LOG10(L861)*MultiLogRegr1stWeek!$B$18+MultiLogRegr1stWeek!$B$19*14+MultiLogRegr1stWeek!$B$20*0))</f>
        <v>219.30705857520343</v>
      </c>
      <c r="U861">
        <v>859</v>
      </c>
      <c r="V861">
        <v>336</v>
      </c>
      <c r="W861">
        <v>161</v>
      </c>
    </row>
    <row r="862" spans="11:23" x14ac:dyDescent="0.3">
      <c r="K862">
        <v>861</v>
      </c>
      <c r="L862">
        <f t="shared" ca="1" si="15"/>
        <v>608.09022389628831</v>
      </c>
      <c r="M862">
        <f ca="1">IF(L862&lt;=0,0,10^(MultiLogRegr1stWeek!$B$17+LOG10(L862)*MultiLogRegr1stWeek!$B$18+MultiLogRegr1stWeek!$B$19*14+MultiLogRegr1stWeek!$B$20*0))</f>
        <v>276.90994307150271</v>
      </c>
      <c r="U862">
        <v>860</v>
      </c>
      <c r="V862">
        <v>335</v>
      </c>
      <c r="W862">
        <v>160</v>
      </c>
    </row>
    <row r="863" spans="11:23" x14ac:dyDescent="0.3">
      <c r="K863">
        <v>862</v>
      </c>
      <c r="L863">
        <f t="shared" ca="1" si="15"/>
        <v>190.0325002985627</v>
      </c>
      <c r="M863">
        <f ca="1">IF(L863&lt;=0,0,10^(MultiLogRegr1stWeek!$B$17+LOG10(L863)*MultiLogRegr1stWeek!$B$18+MultiLogRegr1stWeek!$B$19*14+MultiLogRegr1stWeek!$B$20*0))</f>
        <v>84.436753937076972</v>
      </c>
      <c r="U863">
        <v>861</v>
      </c>
      <c r="V863">
        <v>347</v>
      </c>
      <c r="W863">
        <v>165</v>
      </c>
    </row>
    <row r="864" spans="11:23" x14ac:dyDescent="0.3">
      <c r="K864">
        <v>863</v>
      </c>
      <c r="L864">
        <f t="shared" ca="1" si="15"/>
        <v>281.94779740964191</v>
      </c>
      <c r="M864">
        <f ca="1">IF(L864&lt;=0,0,10^(MultiLogRegr1stWeek!$B$17+LOG10(L864)*MultiLogRegr1stWeek!$B$18+MultiLogRegr1stWeek!$B$19*14+MultiLogRegr1stWeek!$B$20*0))</f>
        <v>126.32534762311047</v>
      </c>
      <c r="U864">
        <v>862</v>
      </c>
      <c r="V864">
        <v>328</v>
      </c>
      <c r="W864">
        <v>157</v>
      </c>
    </row>
    <row r="865" spans="11:23" x14ac:dyDescent="0.3">
      <c r="K865">
        <v>864</v>
      </c>
      <c r="L865">
        <f t="shared" ca="1" si="15"/>
        <v>342.51752632860462</v>
      </c>
      <c r="M865">
        <f ca="1">IF(L865&lt;=0,0,10^(MultiLogRegr1stWeek!$B$17+LOG10(L865)*MultiLogRegr1stWeek!$B$18+MultiLogRegr1stWeek!$B$19*14+MultiLogRegr1stWeek!$B$20*0))</f>
        <v>154.09524996854222</v>
      </c>
      <c r="U865">
        <v>863</v>
      </c>
      <c r="V865">
        <v>334</v>
      </c>
      <c r="W865">
        <v>159</v>
      </c>
    </row>
    <row r="866" spans="11:23" x14ac:dyDescent="0.3">
      <c r="K866">
        <v>865</v>
      </c>
      <c r="L866">
        <f t="shared" ca="1" si="15"/>
        <v>535.31261140392814</v>
      </c>
      <c r="M866">
        <f ca="1">IF(L866&lt;=0,0,10^(MultiLogRegr1stWeek!$B$17+LOG10(L866)*MultiLogRegr1stWeek!$B$18+MultiLogRegr1stWeek!$B$19*14+MultiLogRegr1stWeek!$B$20*0))</f>
        <v>243.11344251400038</v>
      </c>
      <c r="U866">
        <v>864</v>
      </c>
      <c r="V866">
        <v>335</v>
      </c>
      <c r="W866">
        <v>159</v>
      </c>
    </row>
    <row r="867" spans="11:23" x14ac:dyDescent="0.3">
      <c r="K867">
        <v>866</v>
      </c>
      <c r="L867">
        <f t="shared" ca="1" si="15"/>
        <v>888.66134832588023</v>
      </c>
      <c r="M867">
        <f ca="1">IF(L867&lt;=0,0,10^(MultiLogRegr1stWeek!$B$17+LOG10(L867)*MultiLogRegr1stWeek!$B$18+MultiLogRegr1stWeek!$B$19*14+MultiLogRegr1stWeek!$B$20*0))</f>
        <v>407.9305011137435</v>
      </c>
      <c r="U867">
        <v>865</v>
      </c>
      <c r="V867">
        <v>347</v>
      </c>
      <c r="W867">
        <v>165</v>
      </c>
    </row>
    <row r="868" spans="11:23" x14ac:dyDescent="0.3">
      <c r="K868">
        <v>867</v>
      </c>
      <c r="L868">
        <f t="shared" ca="1" si="15"/>
        <v>320.55693323672193</v>
      </c>
      <c r="M868">
        <f ca="1">IF(L868&lt;=0,0,10^(MultiLogRegr1stWeek!$B$17+LOG10(L868)*MultiLogRegr1stWeek!$B$18+MultiLogRegr1stWeek!$B$19*14+MultiLogRegr1stWeek!$B$20*0))</f>
        <v>144.01374346057449</v>
      </c>
      <c r="U868">
        <v>866</v>
      </c>
      <c r="V868">
        <v>329</v>
      </c>
      <c r="W868">
        <v>158</v>
      </c>
    </row>
    <row r="869" spans="11:23" x14ac:dyDescent="0.3">
      <c r="K869">
        <v>868</v>
      </c>
      <c r="L869">
        <f t="shared" ca="1" si="15"/>
        <v>371.84783454667422</v>
      </c>
      <c r="M869">
        <f ca="1">IF(L869&lt;=0,0,10^(MultiLogRegr1stWeek!$B$17+LOG10(L869)*MultiLogRegr1stWeek!$B$18+MultiLogRegr1stWeek!$B$19*14+MultiLogRegr1stWeek!$B$20*0))</f>
        <v>167.58116472563319</v>
      </c>
      <c r="U869">
        <v>867</v>
      </c>
      <c r="V869">
        <v>344</v>
      </c>
      <c r="W869">
        <v>164</v>
      </c>
    </row>
    <row r="870" spans="11:23" x14ac:dyDescent="0.3">
      <c r="K870">
        <v>869</v>
      </c>
      <c r="L870">
        <f t="shared" ca="1" si="15"/>
        <v>982.25907296602691</v>
      </c>
      <c r="M870">
        <f ca="1">IF(L870&lt;=0,0,10^(MultiLogRegr1stWeek!$B$17+LOG10(L870)*MultiLogRegr1stWeek!$B$18+MultiLogRegr1stWeek!$B$19*14+MultiLogRegr1stWeek!$B$20*0))</f>
        <v>451.85000966857268</v>
      </c>
      <c r="U870">
        <v>868</v>
      </c>
      <c r="V870">
        <v>326</v>
      </c>
      <c r="W870">
        <v>156</v>
      </c>
    </row>
    <row r="871" spans="11:23" x14ac:dyDescent="0.3">
      <c r="K871">
        <v>870</v>
      </c>
      <c r="L871">
        <f t="shared" ca="1" si="15"/>
        <v>65.958010412091369</v>
      </c>
      <c r="M871">
        <f ca="1">IF(L871&lt;=0,0,10^(MultiLogRegr1stWeek!$B$17+LOG10(L871)*MultiLogRegr1stWeek!$B$18+MultiLogRegr1stWeek!$B$19*14+MultiLogRegr1stWeek!$B$20*0))</f>
        <v>28.659380945628978</v>
      </c>
      <c r="U871">
        <v>869</v>
      </c>
      <c r="V871">
        <v>337</v>
      </c>
      <c r="W871">
        <v>163</v>
      </c>
    </row>
    <row r="872" spans="11:23" x14ac:dyDescent="0.3">
      <c r="K872">
        <v>871</v>
      </c>
      <c r="L872">
        <f t="shared" ca="1" si="15"/>
        <v>349.45061914958512</v>
      </c>
      <c r="M872">
        <f ca="1">IF(L872&lt;=0,0,10^(MultiLogRegr1stWeek!$B$17+LOG10(L872)*MultiLogRegr1stWeek!$B$18+MultiLogRegr1stWeek!$B$19*14+MultiLogRegr1stWeek!$B$20*0))</f>
        <v>157.28092181288281</v>
      </c>
      <c r="U872">
        <v>870</v>
      </c>
      <c r="V872">
        <v>323</v>
      </c>
      <c r="W872">
        <v>156</v>
      </c>
    </row>
    <row r="873" spans="11:23" x14ac:dyDescent="0.3">
      <c r="K873">
        <v>872</v>
      </c>
      <c r="L873">
        <f t="shared" ca="1" si="15"/>
        <v>526.28216256943278</v>
      </c>
      <c r="M873">
        <f ca="1">IF(L873&lt;=0,0,10^(MultiLogRegr1stWeek!$B$17+LOG10(L873)*MultiLogRegr1stWeek!$B$18+MultiLogRegr1stWeek!$B$19*14+MultiLogRegr1stWeek!$B$20*0))</f>
        <v>238.92638993741357</v>
      </c>
      <c r="U873">
        <v>871</v>
      </c>
      <c r="V873">
        <v>337</v>
      </c>
      <c r="W873">
        <v>160</v>
      </c>
    </row>
    <row r="874" spans="11:23" x14ac:dyDescent="0.3">
      <c r="K874">
        <v>873</v>
      </c>
      <c r="L874">
        <f t="shared" ca="1" si="15"/>
        <v>733.74662391482161</v>
      </c>
      <c r="M874">
        <f ca="1">IF(L874&lt;=0,0,10^(MultiLogRegr1stWeek!$B$17+LOG10(L874)*MultiLogRegr1stWeek!$B$18+MultiLogRegr1stWeek!$B$19*14+MultiLogRegr1stWeek!$B$20*0))</f>
        <v>335.45888827647792</v>
      </c>
      <c r="U874">
        <v>872</v>
      </c>
      <c r="V874">
        <v>341</v>
      </c>
      <c r="W874">
        <v>162</v>
      </c>
    </row>
    <row r="875" spans="11:23" x14ac:dyDescent="0.3">
      <c r="K875">
        <v>874</v>
      </c>
      <c r="L875">
        <f t="shared" ca="1" si="15"/>
        <v>100.54292997234086</v>
      </c>
      <c r="M875">
        <f ca="1">IF(L875&lt;=0,0,10^(MultiLogRegr1stWeek!$B$17+LOG10(L875)*MultiLogRegr1stWeek!$B$18+MultiLogRegr1stWeek!$B$19*14+MultiLogRegr1stWeek!$B$20*0))</f>
        <v>44.077496670463518</v>
      </c>
      <c r="U875">
        <v>873</v>
      </c>
      <c r="V875">
        <v>344</v>
      </c>
      <c r="W875">
        <v>164</v>
      </c>
    </row>
    <row r="876" spans="11:23" x14ac:dyDescent="0.3">
      <c r="K876">
        <v>875</v>
      </c>
      <c r="L876">
        <f t="shared" ca="1" si="15"/>
        <v>342.98761354423709</v>
      </c>
      <c r="M876">
        <f ca="1">IF(L876&lt;=0,0,10^(MultiLogRegr1stWeek!$B$17+LOG10(L876)*MultiLogRegr1stWeek!$B$18+MultiLogRegr1stWeek!$B$19*14+MultiLogRegr1stWeek!$B$20*0))</f>
        <v>154.3112066045552</v>
      </c>
      <c r="U876">
        <v>874</v>
      </c>
      <c r="V876">
        <v>342</v>
      </c>
      <c r="W876">
        <v>163</v>
      </c>
    </row>
    <row r="877" spans="11:23" x14ac:dyDescent="0.3">
      <c r="K877">
        <v>876</v>
      </c>
      <c r="L877">
        <f t="shared" ca="1" si="15"/>
        <v>-147.21008098666783</v>
      </c>
      <c r="M877">
        <f ca="1">IF(L877&lt;=0,0,10^(MultiLogRegr1stWeek!$B$17+LOG10(L877)*MultiLogRegr1stWeek!$B$18+MultiLogRegr1stWeek!$B$19*14+MultiLogRegr1stWeek!$B$20*0))</f>
        <v>0</v>
      </c>
      <c r="U877">
        <v>875</v>
      </c>
      <c r="V877">
        <v>341</v>
      </c>
      <c r="W877">
        <v>163</v>
      </c>
    </row>
    <row r="878" spans="11:23" x14ac:dyDescent="0.3">
      <c r="K878">
        <v>877</v>
      </c>
      <c r="L878">
        <f t="shared" ca="1" si="15"/>
        <v>667.87692922789984</v>
      </c>
      <c r="M878">
        <f ca="1">IF(L878&lt;=0,0,10^(MultiLogRegr1stWeek!$B$17+LOG10(L878)*MultiLogRegr1stWeek!$B$18+MultiLogRegr1stWeek!$B$19*14+MultiLogRegr1stWeek!$B$20*0))</f>
        <v>304.73828534349474</v>
      </c>
      <c r="U878">
        <v>876</v>
      </c>
      <c r="V878">
        <v>333</v>
      </c>
      <c r="W878">
        <v>160</v>
      </c>
    </row>
    <row r="879" spans="11:23" x14ac:dyDescent="0.3">
      <c r="K879">
        <v>878</v>
      </c>
      <c r="L879">
        <f t="shared" ca="1" si="15"/>
        <v>423.34813508291973</v>
      </c>
      <c r="M879">
        <f ca="1">IF(L879&lt;=0,0,10^(MultiLogRegr1stWeek!$B$17+LOG10(L879)*MultiLogRegr1stWeek!$B$18+MultiLogRegr1stWeek!$B$19*14+MultiLogRegr1stWeek!$B$20*0))</f>
        <v>191.31417614127005</v>
      </c>
      <c r="U879">
        <v>877</v>
      </c>
      <c r="V879">
        <v>334</v>
      </c>
      <c r="W879">
        <v>161</v>
      </c>
    </row>
    <row r="880" spans="11:23" x14ac:dyDescent="0.3">
      <c r="K880">
        <v>879</v>
      </c>
      <c r="L880">
        <f t="shared" ca="1" si="15"/>
        <v>1166.2781427152381</v>
      </c>
      <c r="M880">
        <f ca="1">IF(L880&lt;=0,0,10^(MultiLogRegr1stWeek!$B$17+LOG10(L880)*MultiLogRegr1stWeek!$B$18+MultiLogRegr1stWeek!$B$19*14+MultiLogRegr1stWeek!$B$20*0))</f>
        <v>538.44975388956175</v>
      </c>
      <c r="U880">
        <v>878</v>
      </c>
      <c r="V880">
        <v>336</v>
      </c>
      <c r="W880">
        <v>162</v>
      </c>
    </row>
    <row r="881" spans="11:23" x14ac:dyDescent="0.3">
      <c r="K881">
        <v>880</v>
      </c>
      <c r="L881">
        <f t="shared" ca="1" si="15"/>
        <v>-222.80630308159346</v>
      </c>
      <c r="M881">
        <f ca="1">IF(L881&lt;=0,0,10^(MultiLogRegr1stWeek!$B$17+LOG10(L881)*MultiLogRegr1stWeek!$B$18+MultiLogRegr1stWeek!$B$19*14+MultiLogRegr1stWeek!$B$20*0))</f>
        <v>0</v>
      </c>
      <c r="U881">
        <v>879</v>
      </c>
      <c r="V881">
        <v>348</v>
      </c>
      <c r="W881">
        <v>166</v>
      </c>
    </row>
    <row r="882" spans="11:23" x14ac:dyDescent="0.3">
      <c r="K882">
        <v>881</v>
      </c>
      <c r="L882">
        <f t="shared" ca="1" si="15"/>
        <v>-67.070988665768255</v>
      </c>
      <c r="M882">
        <f ca="1">IF(L882&lt;=0,0,10^(MultiLogRegr1stWeek!$B$17+LOG10(L882)*MultiLogRegr1stWeek!$B$18+MultiLogRegr1stWeek!$B$19*14+MultiLogRegr1stWeek!$B$20*0))</f>
        <v>0</v>
      </c>
      <c r="U882">
        <v>880</v>
      </c>
      <c r="V882">
        <v>323</v>
      </c>
      <c r="W882">
        <v>156</v>
      </c>
    </row>
    <row r="883" spans="11:23" x14ac:dyDescent="0.3">
      <c r="K883">
        <v>882</v>
      </c>
      <c r="L883">
        <f t="shared" ca="1" si="15"/>
        <v>484.43485672600252</v>
      </c>
      <c r="M883">
        <f ca="1">IF(L883&lt;=0,0,10^(MultiLogRegr1stWeek!$B$17+LOG10(L883)*MultiLogRegr1stWeek!$B$18+MultiLogRegr1stWeek!$B$19*14+MultiLogRegr1stWeek!$B$20*0))</f>
        <v>219.54371459388707</v>
      </c>
      <c r="U883">
        <v>881</v>
      </c>
      <c r="V883">
        <v>335</v>
      </c>
      <c r="W883">
        <v>161</v>
      </c>
    </row>
    <row r="884" spans="11:23" x14ac:dyDescent="0.3">
      <c r="K884">
        <v>883</v>
      </c>
      <c r="L884">
        <f t="shared" ca="1" si="15"/>
        <v>297.21643435502136</v>
      </c>
      <c r="M884">
        <f ca="1">IF(L884&lt;=0,0,10^(MultiLogRegr1stWeek!$B$17+LOG10(L884)*MultiLogRegr1stWeek!$B$18+MultiLogRegr1stWeek!$B$19*14+MultiLogRegr1stWeek!$B$20*0))</f>
        <v>133.31477202736386</v>
      </c>
      <c r="U884">
        <v>882</v>
      </c>
      <c r="V884">
        <v>334</v>
      </c>
      <c r="W884">
        <v>158</v>
      </c>
    </row>
    <row r="885" spans="11:23" x14ac:dyDescent="0.3">
      <c r="K885">
        <v>884</v>
      </c>
      <c r="L885">
        <f t="shared" ca="1" si="15"/>
        <v>282.65756148366319</v>
      </c>
      <c r="M885">
        <f ca="1">IF(L885&lt;=0,0,10^(MultiLogRegr1stWeek!$B$17+LOG10(L885)*MultiLogRegr1stWeek!$B$18+MultiLogRegr1stWeek!$B$19*14+MultiLogRegr1stWeek!$B$20*0))</f>
        <v>126.65007784742262</v>
      </c>
      <c r="U885">
        <v>883</v>
      </c>
      <c r="V885">
        <v>331</v>
      </c>
      <c r="W885">
        <v>161</v>
      </c>
    </row>
    <row r="886" spans="11:23" x14ac:dyDescent="0.3">
      <c r="K886">
        <v>885</v>
      </c>
      <c r="L886">
        <f t="shared" ca="1" si="15"/>
        <v>232.60024607237563</v>
      </c>
      <c r="M886">
        <f ca="1">IF(L886&lt;=0,0,10^(MultiLogRegr1stWeek!$B$17+LOG10(L886)*MultiLogRegr1stWeek!$B$18+MultiLogRegr1stWeek!$B$19*14+MultiLogRegr1stWeek!$B$20*0))</f>
        <v>103.79286185734793</v>
      </c>
      <c r="U886">
        <v>884</v>
      </c>
      <c r="V886">
        <v>336</v>
      </c>
      <c r="W886">
        <v>161</v>
      </c>
    </row>
    <row r="887" spans="11:23" x14ac:dyDescent="0.3">
      <c r="K887">
        <v>886</v>
      </c>
      <c r="L887">
        <f t="shared" ca="1" si="15"/>
        <v>442.1688861526344</v>
      </c>
      <c r="M887">
        <f ca="1">IF(L887&lt;=0,0,10^(MultiLogRegr1stWeek!$B$17+LOG10(L887)*MultiLogRegr1stWeek!$B$18+MultiLogRegr1stWeek!$B$19*14+MultiLogRegr1stWeek!$B$20*0))</f>
        <v>200.00303485722642</v>
      </c>
      <c r="U887">
        <v>885</v>
      </c>
      <c r="V887">
        <v>336</v>
      </c>
      <c r="W887">
        <v>162</v>
      </c>
    </row>
    <row r="888" spans="11:23" x14ac:dyDescent="0.3">
      <c r="K888">
        <v>887</v>
      </c>
      <c r="L888">
        <f t="shared" ca="1" si="15"/>
        <v>-69.725549660558045</v>
      </c>
      <c r="M888">
        <f ca="1">IF(L888&lt;=0,0,10^(MultiLogRegr1stWeek!$B$17+LOG10(L888)*MultiLogRegr1stWeek!$B$18+MultiLogRegr1stWeek!$B$19*14+MultiLogRegr1stWeek!$B$20*0))</f>
        <v>0</v>
      </c>
      <c r="U888">
        <v>886</v>
      </c>
      <c r="V888">
        <v>333</v>
      </c>
      <c r="W888">
        <v>161</v>
      </c>
    </row>
    <row r="889" spans="11:23" x14ac:dyDescent="0.3">
      <c r="K889">
        <v>888</v>
      </c>
      <c r="L889">
        <f t="shared" ca="1" si="15"/>
        <v>317.37816847771114</v>
      </c>
      <c r="M889">
        <f ca="1">IF(L889&lt;=0,0,10^(MultiLogRegr1stWeek!$B$17+LOG10(L889)*MultiLogRegr1stWeek!$B$18+MultiLogRegr1stWeek!$B$19*14+MultiLogRegr1stWeek!$B$20*0))</f>
        <v>142.5556448247541</v>
      </c>
      <c r="U889">
        <v>887</v>
      </c>
      <c r="V889">
        <v>341</v>
      </c>
      <c r="W889">
        <v>161</v>
      </c>
    </row>
    <row r="890" spans="11:23" x14ac:dyDescent="0.3">
      <c r="K890">
        <v>889</v>
      </c>
      <c r="L890">
        <f t="shared" ca="1" si="15"/>
        <v>260.58796006545379</v>
      </c>
      <c r="M890">
        <f ca="1">IF(L890&lt;=0,0,10^(MultiLogRegr1stWeek!$B$17+LOG10(L890)*MultiLogRegr1stWeek!$B$18+MultiLogRegr1stWeek!$B$19*14+MultiLogRegr1stWeek!$B$20*0))</f>
        <v>116.56110295580895</v>
      </c>
      <c r="U890">
        <v>888</v>
      </c>
      <c r="V890">
        <v>338</v>
      </c>
      <c r="W890">
        <v>161</v>
      </c>
    </row>
    <row r="891" spans="11:23" x14ac:dyDescent="0.3">
      <c r="K891">
        <v>890</v>
      </c>
      <c r="L891">
        <f t="shared" ca="1" si="15"/>
        <v>351.5966919548286</v>
      </c>
      <c r="M891">
        <f ca="1">IF(L891&lt;=0,0,10^(MultiLogRegr1stWeek!$B$17+LOG10(L891)*MultiLogRegr1stWeek!$B$18+MultiLogRegr1stWeek!$B$19*14+MultiLogRegr1stWeek!$B$20*0))</f>
        <v>158.26728795490754</v>
      </c>
      <c r="U891">
        <v>889</v>
      </c>
      <c r="V891">
        <v>346</v>
      </c>
      <c r="W891">
        <v>166</v>
      </c>
    </row>
    <row r="892" spans="11:23" x14ac:dyDescent="0.3">
      <c r="K892">
        <v>891</v>
      </c>
      <c r="L892">
        <f t="shared" ca="1" si="15"/>
        <v>-481.09498659365761</v>
      </c>
      <c r="M892">
        <f ca="1">IF(L892&lt;=0,0,10^(MultiLogRegr1stWeek!$B$17+LOG10(L892)*MultiLogRegr1stWeek!$B$18+MultiLogRegr1stWeek!$B$19*14+MultiLogRegr1stWeek!$B$20*0))</f>
        <v>0</v>
      </c>
      <c r="U892">
        <v>890</v>
      </c>
      <c r="V892">
        <v>327</v>
      </c>
      <c r="W892">
        <v>157</v>
      </c>
    </row>
    <row r="893" spans="11:23" x14ac:dyDescent="0.3">
      <c r="K893">
        <v>892</v>
      </c>
      <c r="L893">
        <f t="shared" ca="1" si="15"/>
        <v>-315.08399528395989</v>
      </c>
      <c r="M893">
        <f ca="1">IF(L893&lt;=0,0,10^(MultiLogRegr1stWeek!$B$17+LOG10(L893)*MultiLogRegr1stWeek!$B$18+MultiLogRegr1stWeek!$B$19*14+MultiLogRegr1stWeek!$B$20*0))</f>
        <v>0</v>
      </c>
      <c r="U893">
        <v>891</v>
      </c>
      <c r="V893">
        <v>330</v>
      </c>
      <c r="W893">
        <v>159</v>
      </c>
    </row>
    <row r="894" spans="11:23" x14ac:dyDescent="0.3">
      <c r="K894">
        <v>893</v>
      </c>
      <c r="L894">
        <f t="shared" ca="1" si="15"/>
        <v>495.51922711344309</v>
      </c>
      <c r="M894">
        <f ca="1">IF(L894&lt;=0,0,10^(MultiLogRegr1stWeek!$B$17+LOG10(L894)*MultiLogRegr1stWeek!$B$18+MultiLogRegr1stWeek!$B$19*14+MultiLogRegr1stWeek!$B$20*0))</f>
        <v>224.67440908706035</v>
      </c>
      <c r="U894">
        <v>892</v>
      </c>
      <c r="V894">
        <v>345</v>
      </c>
      <c r="W894">
        <v>164</v>
      </c>
    </row>
    <row r="895" spans="11:23" x14ac:dyDescent="0.3">
      <c r="K895">
        <v>894</v>
      </c>
      <c r="L895">
        <f t="shared" ca="1" si="15"/>
        <v>426.14505313721577</v>
      </c>
      <c r="M895">
        <f ca="1">IF(L895&lt;=0,0,10^(MultiLogRegr1stWeek!$B$17+LOG10(L895)*MultiLogRegr1stWeek!$B$18+MultiLogRegr1stWeek!$B$19*14+MultiLogRegr1stWeek!$B$20*0))</f>
        <v>192.60490446914204</v>
      </c>
      <c r="U895">
        <v>893</v>
      </c>
      <c r="V895">
        <v>345</v>
      </c>
      <c r="W895">
        <v>165</v>
      </c>
    </row>
    <row r="896" spans="11:23" x14ac:dyDescent="0.3">
      <c r="K896">
        <v>895</v>
      </c>
      <c r="L896">
        <f t="shared" ca="1" si="15"/>
        <v>251.00720395905125</v>
      </c>
      <c r="M896">
        <f ca="1">IF(L896&lt;=0,0,10^(MultiLogRegr1stWeek!$B$17+LOG10(L896)*MultiLogRegr1stWeek!$B$18+MultiLogRegr1stWeek!$B$19*14+MultiLogRegr1stWeek!$B$20*0))</f>
        <v>112.18685118952783</v>
      </c>
      <c r="U896">
        <v>894</v>
      </c>
      <c r="V896">
        <v>358</v>
      </c>
      <c r="W896">
        <v>170</v>
      </c>
    </row>
    <row r="897" spans="11:23" x14ac:dyDescent="0.3">
      <c r="K897">
        <v>896</v>
      </c>
      <c r="L897">
        <f t="shared" ca="1" si="15"/>
        <v>743.73823892653536</v>
      </c>
      <c r="M897">
        <f ca="1">IF(L897&lt;=0,0,10^(MultiLogRegr1stWeek!$B$17+LOG10(L897)*MultiLogRegr1stWeek!$B$18+MultiLogRegr1stWeek!$B$19*14+MultiLogRegr1stWeek!$B$20*0))</f>
        <v>340.1240468486443</v>
      </c>
      <c r="U897">
        <v>895</v>
      </c>
      <c r="V897">
        <v>349</v>
      </c>
      <c r="W897">
        <v>168</v>
      </c>
    </row>
    <row r="898" spans="11:23" x14ac:dyDescent="0.3">
      <c r="K898">
        <v>897</v>
      </c>
      <c r="L898">
        <f t="shared" ca="1" si="15"/>
        <v>373.01345439030467</v>
      </c>
      <c r="M898">
        <f ca="1">IF(L898&lt;=0,0,10^(MultiLogRegr1stWeek!$B$17+LOG10(L898)*MultiLogRegr1stWeek!$B$18+MultiLogRegr1stWeek!$B$19*14+MultiLogRegr1stWeek!$B$20*0))</f>
        <v>168.11758676041453</v>
      </c>
      <c r="U898">
        <v>896</v>
      </c>
      <c r="V898">
        <v>326</v>
      </c>
      <c r="W898">
        <v>158</v>
      </c>
    </row>
    <row r="899" spans="11:23" x14ac:dyDescent="0.3">
      <c r="K899">
        <v>898</v>
      </c>
      <c r="L899">
        <f t="shared" ref="L899:L962" ca="1" si="16">_xlfn.NORM.INV(RAND(),$S$3,$S$2)</f>
        <v>241.58982550743104</v>
      </c>
      <c r="M899">
        <f ca="1">IF(L899&lt;=0,0,10^(MultiLogRegr1stWeek!$B$17+LOG10(L899)*MultiLogRegr1stWeek!$B$18+MultiLogRegr1stWeek!$B$19*14+MultiLogRegr1stWeek!$B$20*0))</f>
        <v>107.89062688579011</v>
      </c>
      <c r="U899">
        <v>897</v>
      </c>
      <c r="V899">
        <v>338</v>
      </c>
      <c r="W899">
        <v>162</v>
      </c>
    </row>
    <row r="900" spans="11:23" x14ac:dyDescent="0.3">
      <c r="K900">
        <v>899</v>
      </c>
      <c r="L900">
        <f t="shared" ca="1" si="16"/>
        <v>34.257250062326136</v>
      </c>
      <c r="M900">
        <f ca="1">IF(L900&lt;=0,0,10^(MultiLogRegr1stWeek!$B$17+LOG10(L900)*MultiLogRegr1stWeek!$B$18+MultiLogRegr1stWeek!$B$19*14+MultiLogRegr1stWeek!$B$20*0))</f>
        <v>14.680597884445435</v>
      </c>
      <c r="U900">
        <v>898</v>
      </c>
      <c r="V900">
        <v>335</v>
      </c>
      <c r="W900">
        <v>161</v>
      </c>
    </row>
    <row r="901" spans="11:23" x14ac:dyDescent="0.3">
      <c r="K901">
        <v>900</v>
      </c>
      <c r="L901">
        <f t="shared" ca="1" si="16"/>
        <v>37.678186500142772</v>
      </c>
      <c r="M901">
        <f ca="1">IF(L901&lt;=0,0,10^(MultiLogRegr1stWeek!$B$17+LOG10(L901)*MultiLogRegr1stWeek!$B$18+MultiLogRegr1stWeek!$B$19*14+MultiLogRegr1stWeek!$B$20*0))</f>
        <v>16.179092102493069</v>
      </c>
      <c r="U901">
        <v>899</v>
      </c>
      <c r="V901">
        <v>337</v>
      </c>
      <c r="W901">
        <v>161</v>
      </c>
    </row>
    <row r="902" spans="11:23" x14ac:dyDescent="0.3">
      <c r="K902">
        <v>901</v>
      </c>
      <c r="L902">
        <f t="shared" ca="1" si="16"/>
        <v>485.6514701709807</v>
      </c>
      <c r="M902">
        <f ca="1">IF(L902&lt;=0,0,10^(MultiLogRegr1stWeek!$B$17+LOG10(L902)*MultiLogRegr1stWeek!$B$18+MultiLogRegr1stWeek!$B$19*14+MultiLogRegr1stWeek!$B$20*0))</f>
        <v>220.10673626513335</v>
      </c>
      <c r="U902">
        <v>900</v>
      </c>
      <c r="V902">
        <v>331</v>
      </c>
      <c r="W902">
        <v>160</v>
      </c>
    </row>
    <row r="903" spans="11:23" x14ac:dyDescent="0.3">
      <c r="K903">
        <v>902</v>
      </c>
      <c r="L903">
        <f t="shared" ca="1" si="16"/>
        <v>36.827164030486131</v>
      </c>
      <c r="M903">
        <f ca="1">IF(L903&lt;=0,0,10^(MultiLogRegr1stWeek!$B$17+LOG10(L903)*MultiLogRegr1stWeek!$B$18+MultiLogRegr1stWeek!$B$19*14+MultiLogRegr1stWeek!$B$20*0))</f>
        <v>15.806034238510845</v>
      </c>
      <c r="U903">
        <v>901</v>
      </c>
      <c r="V903">
        <v>356</v>
      </c>
      <c r="W903">
        <v>171</v>
      </c>
    </row>
    <row r="904" spans="11:23" x14ac:dyDescent="0.3">
      <c r="K904">
        <v>903</v>
      </c>
      <c r="L904">
        <f t="shared" ca="1" si="16"/>
        <v>540.53148411926986</v>
      </c>
      <c r="M904">
        <f ca="1">IF(L904&lt;=0,0,10^(MultiLogRegr1stWeek!$B$17+LOG10(L904)*MultiLogRegr1stWeek!$B$18+MultiLogRegr1stWeek!$B$19*14+MultiLogRegr1stWeek!$B$20*0))</f>
        <v>245.53390375987499</v>
      </c>
      <c r="U904">
        <v>902</v>
      </c>
      <c r="V904">
        <v>338</v>
      </c>
      <c r="W904">
        <v>161</v>
      </c>
    </row>
    <row r="905" spans="11:23" x14ac:dyDescent="0.3">
      <c r="K905">
        <v>904</v>
      </c>
      <c r="L905">
        <f t="shared" ca="1" si="16"/>
        <v>-274.99309267227056</v>
      </c>
      <c r="M905">
        <f ca="1">IF(L905&lt;=0,0,10^(MultiLogRegr1stWeek!$B$17+LOG10(L905)*MultiLogRegr1stWeek!$B$18+MultiLogRegr1stWeek!$B$19*14+MultiLogRegr1stWeek!$B$20*0))</f>
        <v>0</v>
      </c>
      <c r="U905">
        <v>903</v>
      </c>
      <c r="V905">
        <v>336</v>
      </c>
      <c r="W905">
        <v>160</v>
      </c>
    </row>
    <row r="906" spans="11:23" x14ac:dyDescent="0.3">
      <c r="K906">
        <v>905</v>
      </c>
      <c r="L906">
        <f t="shared" ca="1" si="16"/>
        <v>646.67296242371435</v>
      </c>
      <c r="M906">
        <f ca="1">IF(L906&lt;=0,0,10^(MultiLogRegr1stWeek!$B$17+LOG10(L906)*MultiLogRegr1stWeek!$B$18+MultiLogRegr1stWeek!$B$19*14+MultiLogRegr1stWeek!$B$20*0))</f>
        <v>294.86240255356762</v>
      </c>
      <c r="U906">
        <v>904</v>
      </c>
      <c r="V906">
        <v>335</v>
      </c>
      <c r="W906">
        <v>160</v>
      </c>
    </row>
    <row r="907" spans="11:23" x14ac:dyDescent="0.3">
      <c r="K907">
        <v>906</v>
      </c>
      <c r="L907">
        <f t="shared" ca="1" si="16"/>
        <v>648.38144422239498</v>
      </c>
      <c r="M907">
        <f ca="1">IF(L907&lt;=0,0,10^(MultiLogRegr1stWeek!$B$17+LOG10(L907)*MultiLogRegr1stWeek!$B$18+MultiLogRegr1stWeek!$B$19*14+MultiLogRegr1stWeek!$B$20*0))</f>
        <v>295.65788852838574</v>
      </c>
      <c r="U907">
        <v>905</v>
      </c>
      <c r="V907">
        <v>353</v>
      </c>
      <c r="W907">
        <v>168</v>
      </c>
    </row>
    <row r="908" spans="11:23" x14ac:dyDescent="0.3">
      <c r="K908">
        <v>907</v>
      </c>
      <c r="L908">
        <f t="shared" ca="1" si="16"/>
        <v>532.63005822690434</v>
      </c>
      <c r="M908">
        <f ca="1">IF(L908&lt;=0,0,10^(MultiLogRegr1stWeek!$B$17+LOG10(L908)*MultiLogRegr1stWeek!$B$18+MultiLogRegr1stWeek!$B$19*14+MultiLogRegr1stWeek!$B$20*0))</f>
        <v>241.8694946138092</v>
      </c>
      <c r="U908">
        <v>906</v>
      </c>
      <c r="V908">
        <v>329</v>
      </c>
      <c r="W908">
        <v>158</v>
      </c>
    </row>
    <row r="909" spans="11:23" x14ac:dyDescent="0.3">
      <c r="K909">
        <v>908</v>
      </c>
      <c r="L909">
        <f t="shared" ca="1" si="16"/>
        <v>1005.4532907249978</v>
      </c>
      <c r="M909">
        <f ca="1">IF(L909&lt;=0,0,10^(MultiLogRegr1stWeek!$B$17+LOG10(L909)*MultiLogRegr1stWeek!$B$18+MultiLogRegr1stWeek!$B$19*14+MultiLogRegr1stWeek!$B$20*0))</f>
        <v>462.7476077315759</v>
      </c>
      <c r="U909">
        <v>907</v>
      </c>
      <c r="V909">
        <v>324</v>
      </c>
      <c r="W909">
        <v>157</v>
      </c>
    </row>
    <row r="910" spans="11:23" x14ac:dyDescent="0.3">
      <c r="K910">
        <v>909</v>
      </c>
      <c r="L910">
        <f t="shared" ca="1" si="16"/>
        <v>510.68036503596011</v>
      </c>
      <c r="M910">
        <f ca="1">IF(L910&lt;=0,0,10^(MultiLogRegr1stWeek!$B$17+LOG10(L910)*MultiLogRegr1stWeek!$B$18+MultiLogRegr1stWeek!$B$19*14+MultiLogRegr1stWeek!$B$20*0))</f>
        <v>231.69605883274915</v>
      </c>
      <c r="U910">
        <v>908</v>
      </c>
      <c r="V910">
        <v>347</v>
      </c>
      <c r="W910">
        <v>166</v>
      </c>
    </row>
    <row r="911" spans="11:23" x14ac:dyDescent="0.3">
      <c r="K911">
        <v>910</v>
      </c>
      <c r="L911">
        <f t="shared" ca="1" si="16"/>
        <v>473.43290938384689</v>
      </c>
      <c r="M911">
        <f ca="1">IF(L911&lt;=0,0,10^(MultiLogRegr1stWeek!$B$17+LOG10(L911)*MultiLogRegr1stWeek!$B$18+MultiLogRegr1stWeek!$B$19*14+MultiLogRegr1stWeek!$B$20*0))</f>
        <v>214.45362269564268</v>
      </c>
      <c r="U911">
        <v>909</v>
      </c>
      <c r="V911">
        <v>343</v>
      </c>
      <c r="W911">
        <v>164</v>
      </c>
    </row>
    <row r="912" spans="11:23" x14ac:dyDescent="0.3">
      <c r="K912">
        <v>911</v>
      </c>
      <c r="L912">
        <f t="shared" ca="1" si="16"/>
        <v>407.97641533257553</v>
      </c>
      <c r="M912">
        <f ca="1">IF(L912&lt;=0,0,10^(MultiLogRegr1stWeek!$B$17+LOG10(L912)*MultiLogRegr1stWeek!$B$18+MultiLogRegr1stWeek!$B$19*14+MultiLogRegr1stWeek!$B$20*0))</f>
        <v>184.2236446326248</v>
      </c>
      <c r="U912">
        <v>910</v>
      </c>
      <c r="V912">
        <v>341</v>
      </c>
      <c r="W912">
        <v>163</v>
      </c>
    </row>
    <row r="913" spans="11:23" x14ac:dyDescent="0.3">
      <c r="K913">
        <v>912</v>
      </c>
      <c r="L913">
        <f t="shared" ca="1" si="16"/>
        <v>586.20555706043979</v>
      </c>
      <c r="M913">
        <f ca="1">IF(L913&lt;=0,0,10^(MultiLogRegr1stWeek!$B$17+LOG10(L913)*MultiLogRegr1stWeek!$B$18+MultiLogRegr1stWeek!$B$19*14+MultiLogRegr1stWeek!$B$20*0))</f>
        <v>266.73765132479087</v>
      </c>
      <c r="U913">
        <v>911</v>
      </c>
      <c r="V913">
        <v>333</v>
      </c>
      <c r="W913">
        <v>158</v>
      </c>
    </row>
    <row r="914" spans="11:23" x14ac:dyDescent="0.3">
      <c r="K914">
        <v>913</v>
      </c>
      <c r="L914">
        <f t="shared" ca="1" si="16"/>
        <v>75.163335697980926</v>
      </c>
      <c r="M914">
        <f ca="1">IF(L914&lt;=0,0,10^(MultiLogRegr1stWeek!$B$17+LOG10(L914)*MultiLogRegr1stWeek!$B$18+MultiLogRegr1stWeek!$B$19*14+MultiLogRegr1stWeek!$B$20*0))</f>
        <v>32.749406397102653</v>
      </c>
      <c r="U914">
        <v>912</v>
      </c>
      <c r="V914">
        <v>341</v>
      </c>
      <c r="W914">
        <v>163</v>
      </c>
    </row>
    <row r="915" spans="11:23" x14ac:dyDescent="0.3">
      <c r="K915">
        <v>914</v>
      </c>
      <c r="L915">
        <f t="shared" ca="1" si="16"/>
        <v>403.37064447003104</v>
      </c>
      <c r="M915">
        <f ca="1">IF(L915&lt;=0,0,10^(MultiLogRegr1stWeek!$B$17+LOG10(L915)*MultiLogRegr1stWeek!$B$18+MultiLogRegr1stWeek!$B$19*14+MultiLogRegr1stWeek!$B$20*0))</f>
        <v>182.10022392006348</v>
      </c>
      <c r="U915">
        <v>913</v>
      </c>
      <c r="V915">
        <v>336</v>
      </c>
      <c r="W915">
        <v>160</v>
      </c>
    </row>
    <row r="916" spans="11:23" x14ac:dyDescent="0.3">
      <c r="K916">
        <v>915</v>
      </c>
      <c r="L916">
        <f t="shared" ca="1" si="16"/>
        <v>166.18571648846427</v>
      </c>
      <c r="M916">
        <f ca="1">IF(L916&lt;=0,0,10^(MultiLogRegr1stWeek!$B$17+LOG10(L916)*MultiLogRegr1stWeek!$B$18+MultiLogRegr1stWeek!$B$19*14+MultiLogRegr1stWeek!$B$20*0))</f>
        <v>73.632174752902259</v>
      </c>
      <c r="U916">
        <v>914</v>
      </c>
      <c r="V916">
        <v>335</v>
      </c>
      <c r="W916">
        <v>160</v>
      </c>
    </row>
    <row r="917" spans="11:23" x14ac:dyDescent="0.3">
      <c r="K917">
        <v>916</v>
      </c>
      <c r="L917">
        <f t="shared" ca="1" si="16"/>
        <v>415.66087955658566</v>
      </c>
      <c r="M917">
        <f ca="1">IF(L917&lt;=0,0,10^(MultiLogRegr1stWeek!$B$17+LOG10(L917)*MultiLogRegr1stWeek!$B$18+MultiLogRegr1stWeek!$B$19*14+MultiLogRegr1stWeek!$B$20*0))</f>
        <v>187.76757442980295</v>
      </c>
      <c r="U917">
        <v>915</v>
      </c>
      <c r="V917">
        <v>330</v>
      </c>
      <c r="W917">
        <v>158</v>
      </c>
    </row>
    <row r="918" spans="11:23" x14ac:dyDescent="0.3">
      <c r="K918">
        <v>917</v>
      </c>
      <c r="L918">
        <f t="shared" ca="1" si="16"/>
        <v>425.01930654279272</v>
      </c>
      <c r="M918">
        <f ca="1">IF(L918&lt;=0,0,10^(MultiLogRegr1stWeek!$B$17+LOG10(L918)*MultiLogRegr1stWeek!$B$18+MultiLogRegr1stWeek!$B$19*14+MultiLogRegr1stWeek!$B$20*0))</f>
        <v>192.08537070358685</v>
      </c>
      <c r="U918">
        <v>916</v>
      </c>
      <c r="V918">
        <v>326</v>
      </c>
      <c r="W918">
        <v>157</v>
      </c>
    </row>
    <row r="919" spans="11:23" x14ac:dyDescent="0.3">
      <c r="K919">
        <v>918</v>
      </c>
      <c r="L919">
        <f t="shared" ca="1" si="16"/>
        <v>-199.5226115820966</v>
      </c>
      <c r="M919">
        <f ca="1">IF(L919&lt;=0,0,10^(MultiLogRegr1stWeek!$B$17+LOG10(L919)*MultiLogRegr1stWeek!$B$18+MultiLogRegr1stWeek!$B$19*14+MultiLogRegr1stWeek!$B$20*0))</f>
        <v>0</v>
      </c>
      <c r="U919">
        <v>917</v>
      </c>
      <c r="V919">
        <v>334</v>
      </c>
      <c r="W919">
        <v>161</v>
      </c>
    </row>
    <row r="920" spans="11:23" x14ac:dyDescent="0.3">
      <c r="K920">
        <v>919</v>
      </c>
      <c r="L920">
        <f t="shared" ca="1" si="16"/>
        <v>54.825974716419296</v>
      </c>
      <c r="M920">
        <f ca="1">IF(L920&lt;=0,0,10^(MultiLogRegr1stWeek!$B$17+LOG10(L920)*MultiLogRegr1stWeek!$B$18+MultiLogRegr1stWeek!$B$19*14+MultiLogRegr1stWeek!$B$20*0))</f>
        <v>23.729596184540085</v>
      </c>
      <c r="U920">
        <v>918</v>
      </c>
      <c r="V920">
        <v>323</v>
      </c>
      <c r="W920">
        <v>155</v>
      </c>
    </row>
    <row r="921" spans="11:23" x14ac:dyDescent="0.3">
      <c r="K921">
        <v>920</v>
      </c>
      <c r="L921">
        <f t="shared" ca="1" si="16"/>
        <v>409.39098336380687</v>
      </c>
      <c r="M921">
        <f ca="1">IF(L921&lt;=0,0,10^(MultiLogRegr1stWeek!$B$17+LOG10(L921)*MultiLogRegr1stWeek!$B$18+MultiLogRegr1stWeek!$B$19*14+MultiLogRegr1stWeek!$B$20*0))</f>
        <v>184.87591162547523</v>
      </c>
      <c r="U921">
        <v>919</v>
      </c>
      <c r="V921">
        <v>343</v>
      </c>
      <c r="W921">
        <v>164</v>
      </c>
    </row>
    <row r="922" spans="11:23" x14ac:dyDescent="0.3">
      <c r="K922">
        <v>921</v>
      </c>
      <c r="L922">
        <f t="shared" ca="1" si="16"/>
        <v>179.14208240966158</v>
      </c>
      <c r="M922">
        <f ca="1">IF(L922&lt;=0,0,10^(MultiLogRegr1stWeek!$B$17+LOG10(L922)*MultiLogRegr1stWeek!$B$18+MultiLogRegr1stWeek!$B$19*14+MultiLogRegr1stWeek!$B$20*0))</f>
        <v>79.498702171654259</v>
      </c>
      <c r="U922">
        <v>920</v>
      </c>
      <c r="V922">
        <v>341</v>
      </c>
      <c r="W922">
        <v>165</v>
      </c>
    </row>
    <row r="923" spans="11:23" x14ac:dyDescent="0.3">
      <c r="K923">
        <v>922</v>
      </c>
      <c r="L923">
        <f t="shared" ca="1" si="16"/>
        <v>620.79087760728339</v>
      </c>
      <c r="M923">
        <f ca="1">IF(L923&lt;=0,0,10^(MultiLogRegr1stWeek!$B$17+LOG10(L923)*MultiLogRegr1stWeek!$B$18+MultiLogRegr1stWeek!$B$19*14+MultiLogRegr1stWeek!$B$20*0))</f>
        <v>282.81694468515815</v>
      </c>
      <c r="U923">
        <v>921</v>
      </c>
      <c r="V923">
        <v>341</v>
      </c>
      <c r="W923">
        <v>164</v>
      </c>
    </row>
    <row r="924" spans="11:23" x14ac:dyDescent="0.3">
      <c r="K924">
        <v>923</v>
      </c>
      <c r="L924">
        <f t="shared" ca="1" si="16"/>
        <v>581.95413804518728</v>
      </c>
      <c r="M924">
        <f ca="1">IF(L924&lt;=0,0,10^(MultiLogRegr1stWeek!$B$17+LOG10(L924)*MultiLogRegr1stWeek!$B$18+MultiLogRegr1stWeek!$B$19*14+MultiLogRegr1stWeek!$B$20*0))</f>
        <v>264.76245469102054</v>
      </c>
      <c r="U924">
        <v>922</v>
      </c>
      <c r="V924">
        <v>338</v>
      </c>
      <c r="W924">
        <v>163</v>
      </c>
    </row>
    <row r="925" spans="11:23" x14ac:dyDescent="0.3">
      <c r="K925">
        <v>924</v>
      </c>
      <c r="L925">
        <f t="shared" ca="1" si="16"/>
        <v>420.42755843472861</v>
      </c>
      <c r="M925">
        <f ca="1">IF(L925&lt;=0,0,10^(MultiLogRegr1stWeek!$B$17+LOG10(L925)*MultiLogRegr1stWeek!$B$18+MultiLogRegr1stWeek!$B$19*14+MultiLogRegr1stWeek!$B$20*0))</f>
        <v>189.96657374926841</v>
      </c>
      <c r="U925">
        <v>923</v>
      </c>
      <c r="V925">
        <v>347</v>
      </c>
      <c r="W925">
        <v>167</v>
      </c>
    </row>
    <row r="926" spans="11:23" x14ac:dyDescent="0.3">
      <c r="K926">
        <v>925</v>
      </c>
      <c r="L926">
        <f t="shared" ca="1" si="16"/>
        <v>265.18929214397127</v>
      </c>
      <c r="M926">
        <f ca="1">IF(L926&lt;=0,0,10^(MultiLogRegr1stWeek!$B$17+LOG10(L926)*MultiLogRegr1stWeek!$B$18+MultiLogRegr1stWeek!$B$19*14+MultiLogRegr1stWeek!$B$20*0))</f>
        <v>118.66313216749782</v>
      </c>
      <c r="U926">
        <v>924</v>
      </c>
      <c r="V926">
        <v>346</v>
      </c>
      <c r="W926">
        <v>165</v>
      </c>
    </row>
    <row r="927" spans="11:23" x14ac:dyDescent="0.3">
      <c r="K927">
        <v>926</v>
      </c>
      <c r="L927">
        <f t="shared" ca="1" si="16"/>
        <v>451.6411363168516</v>
      </c>
      <c r="M927">
        <f ca="1">IF(L927&lt;=0,0,10^(MultiLogRegr1stWeek!$B$17+LOG10(L927)*MultiLogRegr1stWeek!$B$18+MultiLogRegr1stWeek!$B$19*14+MultiLogRegr1stWeek!$B$20*0))</f>
        <v>204.37900626292742</v>
      </c>
      <c r="U927">
        <v>925</v>
      </c>
      <c r="V927">
        <v>330</v>
      </c>
      <c r="W927">
        <v>158</v>
      </c>
    </row>
    <row r="928" spans="11:23" x14ac:dyDescent="0.3">
      <c r="K928">
        <v>927</v>
      </c>
      <c r="L928">
        <f t="shared" ca="1" si="16"/>
        <v>495.15978273465487</v>
      </c>
      <c r="M928">
        <f ca="1">IF(L928&lt;=0,0,10^(MultiLogRegr1stWeek!$B$17+LOG10(L928)*MultiLogRegr1stWeek!$B$18+MultiLogRegr1stWeek!$B$19*14+MultiLogRegr1stWeek!$B$20*0))</f>
        <v>224.50799241345626</v>
      </c>
      <c r="U928">
        <v>926</v>
      </c>
      <c r="V928">
        <v>325</v>
      </c>
      <c r="W928">
        <v>157</v>
      </c>
    </row>
    <row r="929" spans="11:23" x14ac:dyDescent="0.3">
      <c r="K929">
        <v>928</v>
      </c>
      <c r="L929">
        <f t="shared" ca="1" si="16"/>
        <v>415.93231589778327</v>
      </c>
      <c r="M929">
        <f ca="1">IF(L929&lt;=0,0,10^(MultiLogRegr1stWeek!$B$17+LOG10(L929)*MultiLogRegr1stWeek!$B$18+MultiLogRegr1stWeek!$B$19*14+MultiLogRegr1stWeek!$B$20*0))</f>
        <v>187.89278119645633</v>
      </c>
      <c r="U929">
        <v>927</v>
      </c>
      <c r="V929">
        <v>343</v>
      </c>
      <c r="W929">
        <v>163</v>
      </c>
    </row>
    <row r="930" spans="11:23" x14ac:dyDescent="0.3">
      <c r="K930">
        <v>929</v>
      </c>
      <c r="L930">
        <f t="shared" ca="1" si="16"/>
        <v>128.82736857828576</v>
      </c>
      <c r="M930">
        <f ca="1">IF(L930&lt;=0,0,10^(MultiLogRegr1stWeek!$B$17+LOG10(L930)*MultiLogRegr1stWeek!$B$18+MultiLogRegr1stWeek!$B$19*14+MultiLogRegr1stWeek!$B$20*0))</f>
        <v>56.773657063062807</v>
      </c>
      <c r="U930">
        <v>928</v>
      </c>
      <c r="V930">
        <v>332</v>
      </c>
      <c r="W930">
        <v>159</v>
      </c>
    </row>
    <row r="931" spans="11:23" x14ac:dyDescent="0.3">
      <c r="K931">
        <v>930</v>
      </c>
      <c r="L931">
        <f t="shared" ca="1" si="16"/>
        <v>-219.596622357044</v>
      </c>
      <c r="M931">
        <f ca="1">IF(L931&lt;=0,0,10^(MultiLogRegr1stWeek!$B$17+LOG10(L931)*MultiLogRegr1stWeek!$B$18+MultiLogRegr1stWeek!$B$19*14+MultiLogRegr1stWeek!$B$20*0))</f>
        <v>0</v>
      </c>
      <c r="U931">
        <v>929</v>
      </c>
      <c r="V931">
        <v>321</v>
      </c>
      <c r="W931">
        <v>155</v>
      </c>
    </row>
    <row r="932" spans="11:23" x14ac:dyDescent="0.3">
      <c r="K932">
        <v>931</v>
      </c>
      <c r="L932">
        <f t="shared" ca="1" si="16"/>
        <v>377.78080406529705</v>
      </c>
      <c r="M932">
        <f ca="1">IF(L932&lt;=0,0,10^(MultiLogRegr1stWeek!$B$17+LOG10(L932)*MultiLogRegr1stWeek!$B$18+MultiLogRegr1stWeek!$B$19*14+MultiLogRegr1stWeek!$B$20*0))</f>
        <v>170.31190385399813</v>
      </c>
      <c r="U932">
        <v>930</v>
      </c>
      <c r="V932">
        <v>344</v>
      </c>
      <c r="W932">
        <v>164</v>
      </c>
    </row>
    <row r="933" spans="11:23" x14ac:dyDescent="0.3">
      <c r="K933">
        <v>932</v>
      </c>
      <c r="L933">
        <f t="shared" ca="1" si="16"/>
        <v>285.09561980851737</v>
      </c>
      <c r="M933">
        <f ca="1">IF(L933&lt;=0,0,10^(MultiLogRegr1stWeek!$B$17+LOG10(L933)*MultiLogRegr1stWeek!$B$18+MultiLogRegr1stWeek!$B$19*14+MultiLogRegr1stWeek!$B$20*0))</f>
        <v>127.76566563954894</v>
      </c>
      <c r="U933">
        <v>931</v>
      </c>
      <c r="V933">
        <v>331</v>
      </c>
      <c r="W933">
        <v>159</v>
      </c>
    </row>
    <row r="934" spans="11:23" x14ac:dyDescent="0.3">
      <c r="K934">
        <v>933</v>
      </c>
      <c r="L934">
        <f t="shared" ca="1" si="16"/>
        <v>560.58446603624486</v>
      </c>
      <c r="M934">
        <f ca="1">IF(L934&lt;=0,0,10^(MultiLogRegr1stWeek!$B$17+LOG10(L934)*MultiLogRegr1stWeek!$B$18+MultiLogRegr1stWeek!$B$19*14+MultiLogRegr1stWeek!$B$20*0))</f>
        <v>254.83882848913748</v>
      </c>
      <c r="U934">
        <v>932</v>
      </c>
      <c r="V934">
        <v>345</v>
      </c>
      <c r="W934">
        <v>165</v>
      </c>
    </row>
    <row r="935" spans="11:23" x14ac:dyDescent="0.3">
      <c r="K935">
        <v>934</v>
      </c>
      <c r="L935">
        <f t="shared" ca="1" si="16"/>
        <v>280.67618095559249</v>
      </c>
      <c r="M935">
        <f ca="1">IF(L935&lt;=0,0,10^(MultiLogRegr1stWeek!$B$17+LOG10(L935)*MultiLogRegr1stWeek!$B$18+MultiLogRegr1stWeek!$B$19*14+MultiLogRegr1stWeek!$B$20*0))</f>
        <v>125.74360271186961</v>
      </c>
      <c r="U935">
        <v>933</v>
      </c>
      <c r="V935">
        <v>332</v>
      </c>
      <c r="W935">
        <v>159</v>
      </c>
    </row>
    <row r="936" spans="11:23" x14ac:dyDescent="0.3">
      <c r="K936">
        <v>935</v>
      </c>
      <c r="L936">
        <f t="shared" ca="1" si="16"/>
        <v>457.74303748953253</v>
      </c>
      <c r="M936">
        <f ca="1">IF(L936&lt;=0,0,10^(MultiLogRegr1stWeek!$B$17+LOG10(L936)*MultiLogRegr1stWeek!$B$18+MultiLogRegr1stWeek!$B$19*14+MultiLogRegr1stWeek!$B$20*0))</f>
        <v>207.1989796335389</v>
      </c>
      <c r="U936">
        <v>934</v>
      </c>
      <c r="V936">
        <v>327</v>
      </c>
      <c r="W936">
        <v>159</v>
      </c>
    </row>
    <row r="937" spans="11:23" x14ac:dyDescent="0.3">
      <c r="K937">
        <v>936</v>
      </c>
      <c r="L937">
        <f t="shared" ca="1" si="16"/>
        <v>660.29505478247029</v>
      </c>
      <c r="M937">
        <f ca="1">IF(L937&lt;=0,0,10^(MultiLogRegr1stWeek!$B$17+LOG10(L937)*MultiLogRegr1stWeek!$B$18+MultiLogRegr1stWeek!$B$19*14+MultiLogRegr1stWeek!$B$20*0))</f>
        <v>301.20620735191807</v>
      </c>
      <c r="U937">
        <v>935</v>
      </c>
      <c r="V937">
        <v>338</v>
      </c>
      <c r="W937">
        <v>161</v>
      </c>
    </row>
    <row r="938" spans="11:23" x14ac:dyDescent="0.3">
      <c r="K938">
        <v>937</v>
      </c>
      <c r="L938">
        <f t="shared" ca="1" si="16"/>
        <v>-163.42949148166565</v>
      </c>
      <c r="M938">
        <f ca="1">IF(L938&lt;=0,0,10^(MultiLogRegr1stWeek!$B$17+LOG10(L938)*MultiLogRegr1stWeek!$B$18+MultiLogRegr1stWeek!$B$19*14+MultiLogRegr1stWeek!$B$20*0))</f>
        <v>0</v>
      </c>
      <c r="U938">
        <v>936</v>
      </c>
      <c r="V938">
        <v>339</v>
      </c>
      <c r="W938">
        <v>163</v>
      </c>
    </row>
    <row r="939" spans="11:23" x14ac:dyDescent="0.3">
      <c r="K939">
        <v>938</v>
      </c>
      <c r="L939">
        <f t="shared" ca="1" si="16"/>
        <v>354.15288526297564</v>
      </c>
      <c r="M939">
        <f ca="1">IF(L939&lt;=0,0,10^(MultiLogRegr1stWeek!$B$17+LOG10(L939)*MultiLogRegr1stWeek!$B$18+MultiLogRegr1stWeek!$B$19*14+MultiLogRegr1stWeek!$B$20*0))</f>
        <v>159.44231726811489</v>
      </c>
      <c r="U939">
        <v>937</v>
      </c>
      <c r="V939">
        <v>338</v>
      </c>
      <c r="W939">
        <v>163</v>
      </c>
    </row>
    <row r="940" spans="11:23" x14ac:dyDescent="0.3">
      <c r="K940">
        <v>939</v>
      </c>
      <c r="L940">
        <f t="shared" ca="1" si="16"/>
        <v>390.44849000994043</v>
      </c>
      <c r="M940">
        <f ca="1">IF(L940&lt;=0,0,10^(MultiLogRegr1stWeek!$B$17+LOG10(L940)*MultiLogRegr1stWeek!$B$18+MultiLogRegr1stWeek!$B$19*14+MultiLogRegr1stWeek!$B$20*0))</f>
        <v>176.14541257596537</v>
      </c>
      <c r="U940">
        <v>938</v>
      </c>
      <c r="V940">
        <v>338</v>
      </c>
      <c r="W940">
        <v>160</v>
      </c>
    </row>
    <row r="941" spans="11:23" x14ac:dyDescent="0.3">
      <c r="K941">
        <v>940</v>
      </c>
      <c r="L941">
        <f t="shared" ca="1" si="16"/>
        <v>222.36187671028904</v>
      </c>
      <c r="M941">
        <f ca="1">IF(L941&lt;=0,0,10^(MultiLogRegr1stWeek!$B$17+LOG10(L941)*MultiLogRegr1stWeek!$B$18+MultiLogRegr1stWeek!$B$19*14+MultiLogRegr1stWeek!$B$20*0))</f>
        <v>99.129934695995814</v>
      </c>
      <c r="U941">
        <v>939</v>
      </c>
      <c r="V941">
        <v>347</v>
      </c>
      <c r="W941">
        <v>167</v>
      </c>
    </row>
    <row r="942" spans="11:23" x14ac:dyDescent="0.3">
      <c r="K942">
        <v>941</v>
      </c>
      <c r="L942">
        <f t="shared" ca="1" si="16"/>
        <v>174.13416321736725</v>
      </c>
      <c r="M942">
        <f ca="1">IF(L942&lt;=0,0,10^(MultiLogRegr1stWeek!$B$17+LOG10(L942)*MultiLogRegr1stWeek!$B$18+MultiLogRegr1stWeek!$B$19*14+MultiLogRegr1stWeek!$B$20*0))</f>
        <v>77.230061506520656</v>
      </c>
      <c r="U942">
        <v>940</v>
      </c>
      <c r="V942">
        <v>320</v>
      </c>
      <c r="W942">
        <v>153</v>
      </c>
    </row>
    <row r="943" spans="11:23" x14ac:dyDescent="0.3">
      <c r="K943">
        <v>942</v>
      </c>
      <c r="L943">
        <f t="shared" ca="1" si="16"/>
        <v>-77.2269992254204</v>
      </c>
      <c r="M943">
        <f ca="1">IF(L943&lt;=0,0,10^(MultiLogRegr1stWeek!$B$17+LOG10(L943)*MultiLogRegr1stWeek!$B$18+MultiLogRegr1stWeek!$B$19*14+MultiLogRegr1stWeek!$B$20*0))</f>
        <v>0</v>
      </c>
      <c r="U943">
        <v>941</v>
      </c>
      <c r="V943">
        <v>333</v>
      </c>
      <c r="W943">
        <v>161</v>
      </c>
    </row>
    <row r="944" spans="11:23" x14ac:dyDescent="0.3">
      <c r="K944">
        <v>943</v>
      </c>
      <c r="L944">
        <f t="shared" ca="1" si="16"/>
        <v>248.79039535545229</v>
      </c>
      <c r="M944">
        <f ca="1">IF(L944&lt;=0,0,10^(MultiLogRegr1stWeek!$B$17+LOG10(L944)*MultiLogRegr1stWeek!$B$18+MultiLogRegr1stWeek!$B$19*14+MultiLogRegr1stWeek!$B$20*0))</f>
        <v>111.17522811896011</v>
      </c>
      <c r="U944">
        <v>942</v>
      </c>
      <c r="V944">
        <v>328</v>
      </c>
      <c r="W944">
        <v>158</v>
      </c>
    </row>
    <row r="945" spans="11:23" x14ac:dyDescent="0.3">
      <c r="K945">
        <v>944</v>
      </c>
      <c r="L945">
        <f t="shared" ca="1" si="16"/>
        <v>424.32353812929188</v>
      </c>
      <c r="M945">
        <f ca="1">IF(L945&lt;=0,0,10^(MultiLogRegr1stWeek!$B$17+LOG10(L945)*MultiLogRegr1stWeek!$B$18+MultiLogRegr1stWeek!$B$19*14+MultiLogRegr1stWeek!$B$20*0))</f>
        <v>191.76428704705299</v>
      </c>
      <c r="U945">
        <v>943</v>
      </c>
      <c r="V945">
        <v>339</v>
      </c>
      <c r="W945">
        <v>161</v>
      </c>
    </row>
    <row r="946" spans="11:23" x14ac:dyDescent="0.3">
      <c r="K946">
        <v>945</v>
      </c>
      <c r="L946">
        <f t="shared" ca="1" si="16"/>
        <v>167.97066425387914</v>
      </c>
      <c r="M946">
        <f ca="1">IF(L946&lt;=0,0,10^(MultiLogRegr1stWeek!$B$17+LOG10(L946)*MultiLogRegr1stWeek!$B$18+MultiLogRegr1stWeek!$B$19*14+MultiLogRegr1stWeek!$B$20*0))</f>
        <v>74.439826044079936</v>
      </c>
      <c r="U946">
        <v>944</v>
      </c>
      <c r="V946">
        <v>323</v>
      </c>
      <c r="W946">
        <v>155</v>
      </c>
    </row>
    <row r="947" spans="11:23" x14ac:dyDescent="0.3">
      <c r="K947">
        <v>946</v>
      </c>
      <c r="L947">
        <f t="shared" ca="1" si="16"/>
        <v>701.97643388135418</v>
      </c>
      <c r="M947">
        <f ca="1">IF(L947&lt;=0,0,10^(MultiLogRegr1stWeek!$B$17+LOG10(L947)*MultiLogRegr1stWeek!$B$18+MultiLogRegr1stWeek!$B$19*14+MultiLogRegr1stWeek!$B$20*0))</f>
        <v>320.63415412003349</v>
      </c>
      <c r="U947">
        <v>945</v>
      </c>
      <c r="V947">
        <v>321</v>
      </c>
      <c r="W947">
        <v>155</v>
      </c>
    </row>
    <row r="948" spans="11:23" x14ac:dyDescent="0.3">
      <c r="K948">
        <v>947</v>
      </c>
      <c r="L948">
        <f t="shared" ca="1" si="16"/>
        <v>65.42382655584214</v>
      </c>
      <c r="M948">
        <f ca="1">IF(L948&lt;=0,0,10^(MultiLogRegr1stWeek!$B$17+LOG10(L948)*MultiLogRegr1stWeek!$B$18+MultiLogRegr1stWeek!$B$19*14+MultiLogRegr1stWeek!$B$20*0))</f>
        <v>28.422391966251428</v>
      </c>
      <c r="U948">
        <v>946</v>
      </c>
      <c r="V948">
        <v>347</v>
      </c>
      <c r="W948">
        <v>166</v>
      </c>
    </row>
    <row r="949" spans="11:23" x14ac:dyDescent="0.3">
      <c r="K949">
        <v>948</v>
      </c>
      <c r="L949">
        <f t="shared" ca="1" si="16"/>
        <v>464.57575982166128</v>
      </c>
      <c r="M949">
        <f ca="1">IF(L949&lt;=0,0,10^(MultiLogRegr1stWeek!$B$17+LOG10(L949)*MultiLogRegr1stWeek!$B$18+MultiLogRegr1stWeek!$B$19*14+MultiLogRegr1stWeek!$B$20*0))</f>
        <v>210.35764135911654</v>
      </c>
      <c r="U949">
        <v>947</v>
      </c>
      <c r="V949">
        <v>333</v>
      </c>
      <c r="W949">
        <v>158</v>
      </c>
    </row>
    <row r="950" spans="11:23" x14ac:dyDescent="0.3">
      <c r="K950">
        <v>949</v>
      </c>
      <c r="L950">
        <f t="shared" ca="1" si="16"/>
        <v>569.92207615331108</v>
      </c>
      <c r="M950">
        <f ca="1">IF(L950&lt;=0,0,10^(MultiLogRegr1stWeek!$B$17+LOG10(L950)*MultiLogRegr1stWeek!$B$18+MultiLogRegr1stWeek!$B$19*14+MultiLogRegr1stWeek!$B$20*0))</f>
        <v>259.17405314644924</v>
      </c>
      <c r="U950">
        <v>948</v>
      </c>
      <c r="V950">
        <v>362</v>
      </c>
      <c r="W950">
        <v>171</v>
      </c>
    </row>
    <row r="951" spans="11:23" x14ac:dyDescent="0.3">
      <c r="K951">
        <v>950</v>
      </c>
      <c r="L951">
        <f t="shared" ca="1" si="16"/>
        <v>99.60701210842177</v>
      </c>
      <c r="M951">
        <f ca="1">IF(L951&lt;=0,0,10^(MultiLogRegr1stWeek!$B$17+LOG10(L951)*MultiLogRegr1stWeek!$B$18+MultiLogRegr1stWeek!$B$19*14+MultiLogRegr1stWeek!$B$20*0))</f>
        <v>43.658572252702989</v>
      </c>
      <c r="U951">
        <v>949</v>
      </c>
      <c r="V951">
        <v>343</v>
      </c>
      <c r="W951">
        <v>165</v>
      </c>
    </row>
    <row r="952" spans="11:23" x14ac:dyDescent="0.3">
      <c r="K952">
        <v>951</v>
      </c>
      <c r="L952">
        <f t="shared" ca="1" si="16"/>
        <v>341.90509472197641</v>
      </c>
      <c r="M952">
        <f ca="1">IF(L952&lt;=0,0,10^(MultiLogRegr1stWeek!$B$17+LOG10(L952)*MultiLogRegr1stWeek!$B$18+MultiLogRegr1stWeek!$B$19*14+MultiLogRegr1stWeek!$B$20*0))</f>
        <v>153.81391014216624</v>
      </c>
      <c r="U952">
        <v>950</v>
      </c>
      <c r="V952">
        <v>336</v>
      </c>
      <c r="W952">
        <v>162</v>
      </c>
    </row>
    <row r="953" spans="11:23" x14ac:dyDescent="0.3">
      <c r="K953">
        <v>952</v>
      </c>
      <c r="L953">
        <f t="shared" ca="1" si="16"/>
        <v>691.39153662376145</v>
      </c>
      <c r="M953">
        <f ca="1">IF(L953&lt;=0,0,10^(MultiLogRegr1stWeek!$B$17+LOG10(L953)*MultiLogRegr1stWeek!$B$18+MultiLogRegr1stWeek!$B$19*14+MultiLogRegr1stWeek!$B$20*0))</f>
        <v>315.69810155912108</v>
      </c>
      <c r="U953">
        <v>951</v>
      </c>
      <c r="V953">
        <v>331</v>
      </c>
      <c r="W953">
        <v>161</v>
      </c>
    </row>
    <row r="954" spans="11:23" x14ac:dyDescent="0.3">
      <c r="K954">
        <v>953</v>
      </c>
      <c r="L954">
        <f t="shared" ca="1" si="16"/>
        <v>796.22030172687118</v>
      </c>
      <c r="M954">
        <f ca="1">IF(L954&lt;=0,0,10^(MultiLogRegr1stWeek!$B$17+LOG10(L954)*MultiLogRegr1stWeek!$B$18+MultiLogRegr1stWeek!$B$19*14+MultiLogRegr1stWeek!$B$20*0))</f>
        <v>364.64965298301911</v>
      </c>
      <c r="U954">
        <v>952</v>
      </c>
      <c r="V954">
        <v>343</v>
      </c>
      <c r="W954">
        <v>163</v>
      </c>
    </row>
    <row r="955" spans="11:23" x14ac:dyDescent="0.3">
      <c r="K955">
        <v>954</v>
      </c>
      <c r="L955">
        <f t="shared" ca="1" si="16"/>
        <v>-305.69929100358377</v>
      </c>
      <c r="M955">
        <f ca="1">IF(L955&lt;=0,0,10^(MultiLogRegr1stWeek!$B$17+LOG10(L955)*MultiLogRegr1stWeek!$B$18+MultiLogRegr1stWeek!$B$19*14+MultiLogRegr1stWeek!$B$20*0))</f>
        <v>0</v>
      </c>
      <c r="U955">
        <v>953</v>
      </c>
      <c r="V955">
        <v>345</v>
      </c>
      <c r="W955">
        <v>165</v>
      </c>
    </row>
    <row r="956" spans="11:23" x14ac:dyDescent="0.3">
      <c r="K956">
        <v>955</v>
      </c>
      <c r="L956">
        <f t="shared" ca="1" si="16"/>
        <v>-178.3298905278748</v>
      </c>
      <c r="M956">
        <f ca="1">IF(L956&lt;=0,0,10^(MultiLogRegr1stWeek!$B$17+LOG10(L956)*MultiLogRegr1stWeek!$B$18+MultiLogRegr1stWeek!$B$19*14+MultiLogRegr1stWeek!$B$20*0))</f>
        <v>0</v>
      </c>
      <c r="U956">
        <v>954</v>
      </c>
      <c r="V956">
        <v>353</v>
      </c>
      <c r="W956">
        <v>169</v>
      </c>
    </row>
    <row r="957" spans="11:23" x14ac:dyDescent="0.3">
      <c r="K957">
        <v>956</v>
      </c>
      <c r="L957">
        <f t="shared" ca="1" si="16"/>
        <v>474.46259489779959</v>
      </c>
      <c r="M957">
        <f ca="1">IF(L957&lt;=0,0,10^(MultiLogRegr1stWeek!$B$17+LOG10(L957)*MultiLogRegr1stWeek!$B$18+MultiLogRegr1stWeek!$B$19*14+MultiLogRegr1stWeek!$B$20*0))</f>
        <v>214.92990547860023</v>
      </c>
      <c r="U957">
        <v>955</v>
      </c>
      <c r="V957">
        <v>338</v>
      </c>
      <c r="W957">
        <v>163</v>
      </c>
    </row>
    <row r="958" spans="11:23" x14ac:dyDescent="0.3">
      <c r="K958">
        <v>957</v>
      </c>
      <c r="L958">
        <f t="shared" ca="1" si="16"/>
        <v>524.12923487117916</v>
      </c>
      <c r="M958">
        <f ca="1">IF(L958&lt;=0,0,10^(MultiLogRegr1stWeek!$B$17+LOG10(L958)*MultiLogRegr1stWeek!$B$18+MultiLogRegr1stWeek!$B$19*14+MultiLogRegr1stWeek!$B$20*0))</f>
        <v>237.9283877291351</v>
      </c>
      <c r="U958">
        <v>956</v>
      </c>
      <c r="V958">
        <v>332</v>
      </c>
      <c r="W958">
        <v>160</v>
      </c>
    </row>
    <row r="959" spans="11:23" x14ac:dyDescent="0.3">
      <c r="K959">
        <v>958</v>
      </c>
      <c r="L959">
        <f t="shared" ca="1" si="16"/>
        <v>711.94564797631062</v>
      </c>
      <c r="M959">
        <f ca="1">IF(L959&lt;=0,0,10^(MultiLogRegr1stWeek!$B$17+LOG10(L959)*MultiLogRegr1stWeek!$B$18+MultiLogRegr1stWeek!$B$19*14+MultiLogRegr1stWeek!$B$20*0))</f>
        <v>325.2845332215183</v>
      </c>
      <c r="U959">
        <v>957</v>
      </c>
      <c r="V959">
        <v>328</v>
      </c>
      <c r="W959">
        <v>158</v>
      </c>
    </row>
    <row r="960" spans="11:23" x14ac:dyDescent="0.3">
      <c r="K960">
        <v>959</v>
      </c>
      <c r="L960">
        <f t="shared" ca="1" si="16"/>
        <v>275.49852525792841</v>
      </c>
      <c r="M960">
        <f ca="1">IF(L960&lt;=0,0,10^(MultiLogRegr1stWeek!$B$17+LOG10(L960)*MultiLogRegr1stWeek!$B$18+MultiLogRegr1stWeek!$B$19*14+MultiLogRegr1stWeek!$B$20*0))</f>
        <v>123.37548237000186</v>
      </c>
      <c r="U960">
        <v>958</v>
      </c>
      <c r="V960">
        <v>341</v>
      </c>
      <c r="W960">
        <v>163</v>
      </c>
    </row>
    <row r="961" spans="11:23" x14ac:dyDescent="0.3">
      <c r="K961">
        <v>960</v>
      </c>
      <c r="L961">
        <f t="shared" ca="1" si="16"/>
        <v>524.46410895711995</v>
      </c>
      <c r="M961">
        <f ca="1">IF(L961&lt;=0,0,10^(MultiLogRegr1stWeek!$B$17+LOG10(L961)*MultiLogRegr1stWeek!$B$18+MultiLogRegr1stWeek!$B$19*14+MultiLogRegr1stWeek!$B$20*0))</f>
        <v>238.08361489124894</v>
      </c>
      <c r="U961">
        <v>959</v>
      </c>
      <c r="V961">
        <v>345</v>
      </c>
      <c r="W961">
        <v>164</v>
      </c>
    </row>
    <row r="962" spans="11:23" x14ac:dyDescent="0.3">
      <c r="K962">
        <v>961</v>
      </c>
      <c r="L962">
        <f t="shared" ca="1" si="16"/>
        <v>-208.97837534880716</v>
      </c>
      <c r="M962">
        <f ca="1">IF(L962&lt;=0,0,10^(MultiLogRegr1stWeek!$B$17+LOG10(L962)*MultiLogRegr1stWeek!$B$18+MultiLogRegr1stWeek!$B$19*14+MultiLogRegr1stWeek!$B$20*0))</f>
        <v>0</v>
      </c>
      <c r="U962">
        <v>960</v>
      </c>
      <c r="V962">
        <v>336</v>
      </c>
      <c r="W962">
        <v>162</v>
      </c>
    </row>
    <row r="963" spans="11:23" x14ac:dyDescent="0.3">
      <c r="K963">
        <v>962</v>
      </c>
      <c r="L963">
        <f t="shared" ref="L963:L1001" ca="1" si="17">_xlfn.NORM.INV(RAND(),$S$3,$S$2)</f>
        <v>287.85877909392514</v>
      </c>
      <c r="M963">
        <f ca="1">IF(L963&lt;=0,0,10^(MultiLogRegr1stWeek!$B$17+LOG10(L963)*MultiLogRegr1stWeek!$B$18+MultiLogRegr1stWeek!$B$19*14+MultiLogRegr1stWeek!$B$20*0))</f>
        <v>129.03025408193432</v>
      </c>
      <c r="U963">
        <v>961</v>
      </c>
      <c r="V963">
        <v>337</v>
      </c>
      <c r="W963">
        <v>160</v>
      </c>
    </row>
    <row r="964" spans="11:23" x14ac:dyDescent="0.3">
      <c r="K964">
        <v>963</v>
      </c>
      <c r="L964">
        <f t="shared" ca="1" si="17"/>
        <v>465.01661785020622</v>
      </c>
      <c r="M964">
        <f ca="1">IF(L964&lt;=0,0,10^(MultiLogRegr1stWeek!$B$17+LOG10(L964)*MultiLogRegr1stWeek!$B$18+MultiLogRegr1stWeek!$B$19*14+MultiLogRegr1stWeek!$B$20*0))</f>
        <v>210.56147704598382</v>
      </c>
      <c r="U964">
        <v>962</v>
      </c>
      <c r="V964">
        <v>337</v>
      </c>
      <c r="W964">
        <v>161</v>
      </c>
    </row>
    <row r="965" spans="11:23" x14ac:dyDescent="0.3">
      <c r="K965">
        <v>964</v>
      </c>
      <c r="L965">
        <f t="shared" ca="1" si="17"/>
        <v>-244.57491157903007</v>
      </c>
      <c r="M965">
        <f ca="1">IF(L965&lt;=0,0,10^(MultiLogRegr1stWeek!$B$17+LOG10(L965)*MultiLogRegr1stWeek!$B$18+MultiLogRegr1stWeek!$B$19*14+MultiLogRegr1stWeek!$B$20*0))</f>
        <v>0</v>
      </c>
      <c r="U965">
        <v>963</v>
      </c>
      <c r="V965">
        <v>322</v>
      </c>
      <c r="W965">
        <v>155</v>
      </c>
    </row>
    <row r="966" spans="11:23" x14ac:dyDescent="0.3">
      <c r="K966">
        <v>965</v>
      </c>
      <c r="L966">
        <f t="shared" ca="1" si="17"/>
        <v>27.838428441914516</v>
      </c>
      <c r="M966">
        <f ca="1">IF(L966&lt;=0,0,10^(MultiLogRegr1stWeek!$B$17+LOG10(L966)*MultiLogRegr1stWeek!$B$18+MultiLogRegr1stWeek!$B$19*14+MultiLogRegr1stWeek!$B$20*0))</f>
        <v>11.877722717416059</v>
      </c>
      <c r="U966">
        <v>964</v>
      </c>
      <c r="V966">
        <v>327</v>
      </c>
      <c r="W966">
        <v>157</v>
      </c>
    </row>
    <row r="967" spans="11:23" x14ac:dyDescent="0.3">
      <c r="K967">
        <v>966</v>
      </c>
      <c r="L967">
        <f t="shared" ca="1" si="17"/>
        <v>531.1854309067096</v>
      </c>
      <c r="M967">
        <f ca="1">IF(L967&lt;=0,0,10^(MultiLogRegr1stWeek!$B$17+LOG10(L967)*MultiLogRegr1stWeek!$B$18+MultiLogRegr1stWeek!$B$19*14+MultiLogRegr1stWeek!$B$20*0))</f>
        <v>241.19964984277144</v>
      </c>
      <c r="U967">
        <v>965</v>
      </c>
      <c r="V967">
        <v>334</v>
      </c>
      <c r="W967">
        <v>161</v>
      </c>
    </row>
    <row r="968" spans="11:23" x14ac:dyDescent="0.3">
      <c r="K968">
        <v>967</v>
      </c>
      <c r="L968">
        <f t="shared" ca="1" si="17"/>
        <v>136.29151640969144</v>
      </c>
      <c r="M968">
        <f ca="1">IF(L968&lt;=0,0,10^(MultiLogRegr1stWeek!$B$17+LOG10(L968)*MultiLogRegr1stWeek!$B$18+MultiLogRegr1stWeek!$B$19*14+MultiLogRegr1stWeek!$B$20*0))</f>
        <v>60.134552883750231</v>
      </c>
      <c r="U968">
        <v>966</v>
      </c>
      <c r="V968">
        <v>329</v>
      </c>
      <c r="W968">
        <v>158</v>
      </c>
    </row>
    <row r="969" spans="11:23" x14ac:dyDescent="0.3">
      <c r="K969">
        <v>968</v>
      </c>
      <c r="L969">
        <f t="shared" ca="1" si="17"/>
        <v>-9.1798794802334669</v>
      </c>
      <c r="M969">
        <f ca="1">IF(L969&lt;=0,0,10^(MultiLogRegr1stWeek!$B$17+LOG10(L969)*MultiLogRegr1stWeek!$B$18+MultiLogRegr1stWeek!$B$19*14+MultiLogRegr1stWeek!$B$20*0))</f>
        <v>0</v>
      </c>
      <c r="U969">
        <v>967</v>
      </c>
      <c r="V969">
        <v>339</v>
      </c>
      <c r="W969">
        <v>165</v>
      </c>
    </row>
    <row r="970" spans="11:23" x14ac:dyDescent="0.3">
      <c r="K970">
        <v>969</v>
      </c>
      <c r="L970">
        <f t="shared" ca="1" si="17"/>
        <v>-42.88020317212289</v>
      </c>
      <c r="M970">
        <f ca="1">IF(L970&lt;=0,0,10^(MultiLogRegr1stWeek!$B$17+LOG10(L970)*MultiLogRegr1stWeek!$B$18+MultiLogRegr1stWeek!$B$19*14+MultiLogRegr1stWeek!$B$20*0))</f>
        <v>0</v>
      </c>
      <c r="U970">
        <v>968</v>
      </c>
      <c r="V970">
        <v>340</v>
      </c>
      <c r="W970">
        <v>163</v>
      </c>
    </row>
    <row r="971" spans="11:23" x14ac:dyDescent="0.3">
      <c r="K971">
        <v>970</v>
      </c>
      <c r="L971">
        <f t="shared" ca="1" si="17"/>
        <v>392.6568204425455</v>
      </c>
      <c r="M971">
        <f ca="1">IF(L971&lt;=0,0,10^(MultiLogRegr1stWeek!$B$17+LOG10(L971)*MultiLogRegr1stWeek!$B$18+MultiLogRegr1stWeek!$B$19*14+MultiLogRegr1stWeek!$B$20*0))</f>
        <v>177.16276846488273</v>
      </c>
      <c r="U971">
        <v>969</v>
      </c>
      <c r="V971">
        <v>337</v>
      </c>
      <c r="W971">
        <v>161</v>
      </c>
    </row>
    <row r="972" spans="11:23" x14ac:dyDescent="0.3">
      <c r="K972">
        <v>971</v>
      </c>
      <c r="L972">
        <f t="shared" ca="1" si="17"/>
        <v>-157.97985393993991</v>
      </c>
      <c r="M972">
        <f ca="1">IF(L972&lt;=0,0,10^(MultiLogRegr1stWeek!$B$17+LOG10(L972)*MultiLogRegr1stWeek!$B$18+MultiLogRegr1stWeek!$B$19*14+MultiLogRegr1stWeek!$B$20*0))</f>
        <v>0</v>
      </c>
      <c r="U972">
        <v>970</v>
      </c>
      <c r="V972">
        <v>335</v>
      </c>
      <c r="W972">
        <v>160</v>
      </c>
    </row>
    <row r="973" spans="11:23" x14ac:dyDescent="0.3">
      <c r="K973">
        <v>972</v>
      </c>
      <c r="L973">
        <f t="shared" ca="1" si="17"/>
        <v>395.35475334008049</v>
      </c>
      <c r="M973">
        <f ca="1">IF(L973&lt;=0,0,10^(MultiLogRegr1stWeek!$B$17+LOG10(L973)*MultiLogRegr1stWeek!$B$18+MultiLogRegr1stWeek!$B$19*14+MultiLogRegr1stWeek!$B$20*0))</f>
        <v>178.40584326230626</v>
      </c>
      <c r="U973">
        <v>971</v>
      </c>
      <c r="V973">
        <v>356</v>
      </c>
      <c r="W973">
        <v>168</v>
      </c>
    </row>
    <row r="974" spans="11:23" x14ac:dyDescent="0.3">
      <c r="K974">
        <v>973</v>
      </c>
      <c r="L974">
        <f t="shared" ca="1" si="17"/>
        <v>497.18669560303198</v>
      </c>
      <c r="M974">
        <f ca="1">IF(L974&lt;=0,0,10^(MultiLogRegr1stWeek!$B$17+LOG10(L974)*MultiLogRegr1stWeek!$B$18+MultiLogRegr1stWeek!$B$19*14+MultiLogRegr1stWeek!$B$20*0))</f>
        <v>225.4464521350869</v>
      </c>
      <c r="U974">
        <v>972</v>
      </c>
      <c r="V974">
        <v>331</v>
      </c>
      <c r="W974">
        <v>157</v>
      </c>
    </row>
    <row r="975" spans="11:23" x14ac:dyDescent="0.3">
      <c r="K975">
        <v>974</v>
      </c>
      <c r="L975">
        <f t="shared" ca="1" si="17"/>
        <v>871.2684818811706</v>
      </c>
      <c r="M975">
        <f ca="1">IF(L975&lt;=0,0,10^(MultiLogRegr1stWeek!$B$17+LOG10(L975)*MultiLogRegr1stWeek!$B$18+MultiLogRegr1stWeek!$B$19*14+MultiLogRegr1stWeek!$B$20*0))</f>
        <v>399.77959133760828</v>
      </c>
      <c r="U975">
        <v>973</v>
      </c>
      <c r="V975">
        <v>322</v>
      </c>
      <c r="W975">
        <v>156</v>
      </c>
    </row>
    <row r="976" spans="11:23" x14ac:dyDescent="0.3">
      <c r="K976">
        <v>975</v>
      </c>
      <c r="L976">
        <f t="shared" ca="1" si="17"/>
        <v>292.94972543735355</v>
      </c>
      <c r="M976">
        <f ca="1">IF(L976&lt;=0,0,10^(MultiLogRegr1stWeek!$B$17+LOG10(L976)*MultiLogRegr1stWeek!$B$18+MultiLogRegr1stWeek!$B$19*14+MultiLogRegr1stWeek!$B$20*0))</f>
        <v>131.36084788780315</v>
      </c>
      <c r="U976">
        <v>974</v>
      </c>
      <c r="V976">
        <v>346</v>
      </c>
      <c r="W976">
        <v>164</v>
      </c>
    </row>
    <row r="977" spans="11:23" x14ac:dyDescent="0.3">
      <c r="K977">
        <v>976</v>
      </c>
      <c r="L977">
        <f t="shared" ca="1" si="17"/>
        <v>536.64011134375971</v>
      </c>
      <c r="M977">
        <f ca="1">IF(L977&lt;=0,0,10^(MultiLogRegr1stWeek!$B$17+LOG10(L977)*MultiLogRegr1stWeek!$B$18+MultiLogRegr1stWeek!$B$19*14+MultiLogRegr1stWeek!$B$20*0))</f>
        <v>243.72907671710627</v>
      </c>
      <c r="U977">
        <v>975</v>
      </c>
      <c r="V977">
        <v>347</v>
      </c>
      <c r="W977">
        <v>167</v>
      </c>
    </row>
    <row r="978" spans="11:23" x14ac:dyDescent="0.3">
      <c r="K978">
        <v>977</v>
      </c>
      <c r="L978">
        <f t="shared" ca="1" si="17"/>
        <v>173.86684183830491</v>
      </c>
      <c r="M978">
        <f ca="1">IF(L978&lt;=0,0,10^(MultiLogRegr1stWeek!$B$17+LOG10(L978)*MultiLogRegr1stWeek!$B$18+MultiLogRegr1stWeek!$B$19*14+MultiLogRegr1stWeek!$B$20*0))</f>
        <v>77.109000461743165</v>
      </c>
      <c r="U978">
        <v>976</v>
      </c>
      <c r="V978">
        <v>333</v>
      </c>
      <c r="W978">
        <v>161</v>
      </c>
    </row>
    <row r="979" spans="11:23" x14ac:dyDescent="0.3">
      <c r="K979">
        <v>978</v>
      </c>
      <c r="L979">
        <f t="shared" ca="1" si="17"/>
        <v>330.40560382142115</v>
      </c>
      <c r="M979">
        <f ca="1">IF(L979&lt;=0,0,10^(MultiLogRegr1stWeek!$B$17+LOG10(L979)*MultiLogRegr1stWeek!$B$18+MultiLogRegr1stWeek!$B$19*14+MultiLogRegr1stWeek!$B$20*0))</f>
        <v>148.5332520282011</v>
      </c>
      <c r="U979">
        <v>977</v>
      </c>
      <c r="V979">
        <v>327</v>
      </c>
      <c r="W979">
        <v>157</v>
      </c>
    </row>
    <row r="980" spans="11:23" x14ac:dyDescent="0.3">
      <c r="K980">
        <v>979</v>
      </c>
      <c r="L980">
        <f t="shared" ca="1" si="17"/>
        <v>614.78399315939942</v>
      </c>
      <c r="M980">
        <f ca="1">IF(L980&lt;=0,0,10^(MultiLogRegr1stWeek!$B$17+LOG10(L980)*MultiLogRegr1stWeek!$B$18+MultiLogRegr1stWeek!$B$19*14+MultiLogRegr1stWeek!$B$20*0))</f>
        <v>280.02285568763602</v>
      </c>
      <c r="U980">
        <v>978</v>
      </c>
      <c r="V980">
        <v>343</v>
      </c>
      <c r="W980">
        <v>163</v>
      </c>
    </row>
    <row r="981" spans="11:23" x14ac:dyDescent="0.3">
      <c r="K981">
        <v>980</v>
      </c>
      <c r="L981">
        <f t="shared" ca="1" si="17"/>
        <v>136.12370451573489</v>
      </c>
      <c r="M981">
        <f ca="1">IF(L981&lt;=0,0,10^(MultiLogRegr1stWeek!$B$17+LOG10(L981)*MultiLogRegr1stWeek!$B$18+MultiLogRegr1stWeek!$B$19*14+MultiLogRegr1stWeek!$B$20*0))</f>
        <v>60.058948370180168</v>
      </c>
      <c r="U981">
        <v>979</v>
      </c>
      <c r="V981">
        <v>344</v>
      </c>
      <c r="W981">
        <v>165</v>
      </c>
    </row>
    <row r="982" spans="11:23" x14ac:dyDescent="0.3">
      <c r="K982">
        <v>981</v>
      </c>
      <c r="L982">
        <f t="shared" ca="1" si="17"/>
        <v>443.06227026007593</v>
      </c>
      <c r="M982">
        <f ca="1">IF(L982&lt;=0,0,10^(MultiLogRegr1stWeek!$B$17+LOG10(L982)*MultiLogRegr1stWeek!$B$18+MultiLogRegr1stWeek!$B$19*14+MultiLogRegr1stWeek!$B$20*0))</f>
        <v>200.41567479309626</v>
      </c>
      <c r="U982">
        <v>980</v>
      </c>
      <c r="V982">
        <v>327</v>
      </c>
      <c r="W982">
        <v>158</v>
      </c>
    </row>
    <row r="983" spans="11:23" x14ac:dyDescent="0.3">
      <c r="K983">
        <v>982</v>
      </c>
      <c r="L983">
        <f t="shared" ca="1" si="17"/>
        <v>136.25240498692321</v>
      </c>
      <c r="M983">
        <f ca="1">IF(L983&lt;=0,0,10^(MultiLogRegr1stWeek!$B$17+LOG10(L983)*MultiLogRegr1stWeek!$B$18+MultiLogRegr1stWeek!$B$19*14+MultiLogRegr1stWeek!$B$20*0))</f>
        <v>60.116931787171204</v>
      </c>
      <c r="U983">
        <v>981</v>
      </c>
      <c r="V983">
        <v>322</v>
      </c>
      <c r="W983">
        <v>156</v>
      </c>
    </row>
    <row r="984" spans="11:23" x14ac:dyDescent="0.3">
      <c r="K984">
        <v>983</v>
      </c>
      <c r="L984">
        <f t="shared" ca="1" si="17"/>
        <v>328.21006413824739</v>
      </c>
      <c r="M984">
        <f ca="1">IF(L984&lt;=0,0,10^(MultiLogRegr1stWeek!$B$17+LOG10(L984)*MultiLogRegr1stWeek!$B$18+MultiLogRegr1stWeek!$B$19*14+MultiLogRegr1stWeek!$B$20*0))</f>
        <v>147.52547974659305</v>
      </c>
      <c r="U984">
        <v>982</v>
      </c>
      <c r="V984">
        <v>350</v>
      </c>
      <c r="W984">
        <v>166</v>
      </c>
    </row>
    <row r="985" spans="11:23" x14ac:dyDescent="0.3">
      <c r="K985">
        <v>984</v>
      </c>
      <c r="L985">
        <f t="shared" ca="1" si="17"/>
        <v>369.58791590557809</v>
      </c>
      <c r="M985">
        <f ca="1">IF(L985&lt;=0,0,10^(MultiLogRegr1stWeek!$B$17+LOG10(L985)*MultiLogRegr1stWeek!$B$18+MultiLogRegr1stWeek!$B$19*14+MultiLogRegr1stWeek!$B$20*0))</f>
        <v>166.54124408555649</v>
      </c>
      <c r="U985">
        <v>983</v>
      </c>
      <c r="V985">
        <v>338</v>
      </c>
      <c r="W985">
        <v>162</v>
      </c>
    </row>
    <row r="986" spans="11:23" x14ac:dyDescent="0.3">
      <c r="K986">
        <v>985</v>
      </c>
      <c r="L986">
        <f t="shared" ca="1" si="17"/>
        <v>508.27228539032382</v>
      </c>
      <c r="M986">
        <f ca="1">IF(L986&lt;=0,0,10^(MultiLogRegr1stWeek!$B$17+LOG10(L986)*MultiLogRegr1stWeek!$B$18+MultiLogRegr1stWeek!$B$19*14+MultiLogRegr1stWeek!$B$20*0))</f>
        <v>230.58049597238491</v>
      </c>
      <c r="U986">
        <v>984</v>
      </c>
      <c r="V986">
        <v>330</v>
      </c>
      <c r="W986">
        <v>158</v>
      </c>
    </row>
    <row r="987" spans="11:23" x14ac:dyDescent="0.3">
      <c r="K987">
        <v>986</v>
      </c>
      <c r="L987">
        <f t="shared" ca="1" si="17"/>
        <v>498.54269140871202</v>
      </c>
      <c r="M987">
        <f ca="1">IF(L987&lt;=0,0,10^(MultiLogRegr1stWeek!$B$17+LOG10(L987)*MultiLogRegr1stWeek!$B$18+MultiLogRegr1stWeek!$B$19*14+MultiLogRegr1stWeek!$B$20*0))</f>
        <v>226.07432269153665</v>
      </c>
      <c r="U987">
        <v>985</v>
      </c>
      <c r="V987">
        <v>354</v>
      </c>
      <c r="W987">
        <v>169</v>
      </c>
    </row>
    <row r="988" spans="11:23" x14ac:dyDescent="0.3">
      <c r="K988">
        <v>987</v>
      </c>
      <c r="L988">
        <f t="shared" ca="1" si="17"/>
        <v>361.45683144947009</v>
      </c>
      <c r="M988">
        <f ca="1">IF(L988&lt;=0,0,10^(MultiLogRegr1stWeek!$B$17+LOG10(L988)*MultiLogRegr1stWeek!$B$18+MultiLogRegr1stWeek!$B$19*14+MultiLogRegr1stWeek!$B$20*0))</f>
        <v>162.80077337479011</v>
      </c>
      <c r="U988">
        <v>986</v>
      </c>
      <c r="V988">
        <v>351</v>
      </c>
      <c r="W988">
        <v>167</v>
      </c>
    </row>
    <row r="989" spans="11:23" x14ac:dyDescent="0.3">
      <c r="K989">
        <v>988</v>
      </c>
      <c r="L989">
        <f t="shared" ca="1" si="17"/>
        <v>-89.841124660479409</v>
      </c>
      <c r="M989">
        <f ca="1">IF(L989&lt;=0,0,10^(MultiLogRegr1stWeek!$B$17+LOG10(L989)*MultiLogRegr1stWeek!$B$18+MultiLogRegr1stWeek!$B$19*14+MultiLogRegr1stWeek!$B$20*0))</f>
        <v>0</v>
      </c>
      <c r="U989">
        <v>987</v>
      </c>
      <c r="V989">
        <v>330</v>
      </c>
      <c r="W989">
        <v>159</v>
      </c>
    </row>
    <row r="990" spans="11:23" x14ac:dyDescent="0.3">
      <c r="K990">
        <v>989</v>
      </c>
      <c r="L990">
        <f t="shared" ca="1" si="17"/>
        <v>416.04521820412509</v>
      </c>
      <c r="M990">
        <f ca="1">IF(L990&lt;=0,0,10^(MultiLogRegr1stWeek!$B$17+LOG10(L990)*MultiLogRegr1stWeek!$B$18+MultiLogRegr1stWeek!$B$19*14+MultiLogRegr1stWeek!$B$20*0))</f>
        <v>187.94486070282412</v>
      </c>
      <c r="U990">
        <v>988</v>
      </c>
      <c r="V990">
        <v>334</v>
      </c>
      <c r="W990">
        <v>162</v>
      </c>
    </row>
    <row r="991" spans="11:23" x14ac:dyDescent="0.3">
      <c r="K991">
        <v>990</v>
      </c>
      <c r="L991">
        <f t="shared" ca="1" si="17"/>
        <v>187.22067160144698</v>
      </c>
      <c r="M991">
        <f ca="1">IF(L991&lt;=0,0,10^(MultiLogRegr1stWeek!$B$17+LOG10(L991)*MultiLogRegr1stWeek!$B$18+MultiLogRegr1stWeek!$B$19*14+MultiLogRegr1stWeek!$B$20*0))</f>
        <v>83.161197461756544</v>
      </c>
      <c r="U991">
        <v>989</v>
      </c>
      <c r="V991">
        <v>338</v>
      </c>
      <c r="W991">
        <v>162</v>
      </c>
    </row>
    <row r="992" spans="11:23" x14ac:dyDescent="0.3">
      <c r="K992">
        <v>991</v>
      </c>
      <c r="L992">
        <f t="shared" ca="1" si="17"/>
        <v>756.77922009937811</v>
      </c>
      <c r="M992">
        <f ca="1">IF(L992&lt;=0,0,10^(MultiLogRegr1stWeek!$B$17+LOG10(L992)*MultiLogRegr1stWeek!$B$18+MultiLogRegr1stWeek!$B$19*14+MultiLogRegr1stWeek!$B$20*0))</f>
        <v>346.21496556631627</v>
      </c>
      <c r="U992">
        <v>990</v>
      </c>
      <c r="V992">
        <v>340</v>
      </c>
      <c r="W992">
        <v>162</v>
      </c>
    </row>
    <row r="993" spans="11:23" x14ac:dyDescent="0.3">
      <c r="K993">
        <v>992</v>
      </c>
      <c r="L993">
        <f t="shared" ca="1" si="17"/>
        <v>131.86574656266313</v>
      </c>
      <c r="M993">
        <f ca="1">IF(L993&lt;=0,0,10^(MultiLogRegr1stWeek!$B$17+LOG10(L993)*MultiLogRegr1stWeek!$B$18+MultiLogRegr1stWeek!$B$19*14+MultiLogRegr1stWeek!$B$20*0))</f>
        <v>58.141270048416047</v>
      </c>
      <c r="U993">
        <v>991</v>
      </c>
      <c r="V993">
        <v>347</v>
      </c>
      <c r="W993">
        <v>165</v>
      </c>
    </row>
    <row r="994" spans="11:23" x14ac:dyDescent="0.3">
      <c r="K994">
        <v>993</v>
      </c>
      <c r="L994">
        <f t="shared" ca="1" si="17"/>
        <v>-30.543954184663903</v>
      </c>
      <c r="M994">
        <f ca="1">IF(L994&lt;=0,0,10^(MultiLogRegr1stWeek!$B$17+LOG10(L994)*MultiLogRegr1stWeek!$B$18+MultiLogRegr1stWeek!$B$19*14+MultiLogRegr1stWeek!$B$20*0))</f>
        <v>0</v>
      </c>
      <c r="U994">
        <v>992</v>
      </c>
      <c r="V994">
        <v>327</v>
      </c>
      <c r="W994">
        <v>157</v>
      </c>
    </row>
    <row r="995" spans="11:23" x14ac:dyDescent="0.3">
      <c r="K995">
        <v>994</v>
      </c>
      <c r="L995">
        <f t="shared" ca="1" si="17"/>
        <v>262.0250604641742</v>
      </c>
      <c r="M995">
        <f ca="1">IF(L995&lt;=0,0,10^(MultiLogRegr1stWeek!$B$17+LOG10(L995)*MultiLogRegr1stWeek!$B$18+MultiLogRegr1stWeek!$B$19*14+MultiLogRegr1stWeek!$B$20*0))</f>
        <v>117.217530844477</v>
      </c>
      <c r="U995">
        <v>993</v>
      </c>
      <c r="V995">
        <v>328</v>
      </c>
      <c r="W995">
        <v>158</v>
      </c>
    </row>
    <row r="996" spans="11:23" x14ac:dyDescent="0.3">
      <c r="K996">
        <v>995</v>
      </c>
      <c r="L996">
        <f t="shared" ca="1" si="17"/>
        <v>327.26858686193873</v>
      </c>
      <c r="M996">
        <f ca="1">IF(L996&lt;=0,0,10^(MultiLogRegr1stWeek!$B$17+LOG10(L996)*MultiLogRegr1stWeek!$B$18+MultiLogRegr1stWeek!$B$19*14+MultiLogRegr1stWeek!$B$20*0))</f>
        <v>147.09337683950434</v>
      </c>
      <c r="U996">
        <v>994</v>
      </c>
      <c r="V996">
        <v>347</v>
      </c>
      <c r="W996">
        <v>167</v>
      </c>
    </row>
    <row r="997" spans="11:23" x14ac:dyDescent="0.3">
      <c r="K997">
        <v>996</v>
      </c>
      <c r="L997">
        <f t="shared" ca="1" si="17"/>
        <v>-11.64023552955814</v>
      </c>
      <c r="M997">
        <f ca="1">IF(L997&lt;=0,0,10^(MultiLogRegr1stWeek!$B$17+LOG10(L997)*MultiLogRegr1stWeek!$B$18+MultiLogRegr1stWeek!$B$19*14+MultiLogRegr1stWeek!$B$20*0))</f>
        <v>0</v>
      </c>
      <c r="U997">
        <v>995</v>
      </c>
      <c r="V997">
        <v>355</v>
      </c>
      <c r="W997">
        <v>169</v>
      </c>
    </row>
    <row r="998" spans="11:23" x14ac:dyDescent="0.3">
      <c r="K998">
        <v>997</v>
      </c>
      <c r="L998">
        <f t="shared" ca="1" si="17"/>
        <v>122.17444460611634</v>
      </c>
      <c r="M998">
        <f ca="1">IF(L998&lt;=0,0,10^(MultiLogRegr1stWeek!$B$17+LOG10(L998)*MultiLogRegr1stWeek!$B$18+MultiLogRegr1stWeek!$B$19*14+MultiLogRegr1stWeek!$B$20*0))</f>
        <v>53.781490943680204</v>
      </c>
      <c r="U998">
        <v>996</v>
      </c>
      <c r="V998">
        <v>330</v>
      </c>
      <c r="W998">
        <v>159</v>
      </c>
    </row>
    <row r="999" spans="11:23" x14ac:dyDescent="0.3">
      <c r="K999">
        <v>998</v>
      </c>
      <c r="L999">
        <f t="shared" ca="1" si="17"/>
        <v>447.72805684916892</v>
      </c>
      <c r="M999">
        <f ca="1">IF(L999&lt;=0,0,10^(MultiLogRegr1stWeek!$B$17+LOG10(L999)*MultiLogRegr1stWeek!$B$18+MultiLogRegr1stWeek!$B$19*14+MultiLogRegr1stWeek!$B$20*0))</f>
        <v>202.57101225698963</v>
      </c>
      <c r="U999">
        <v>997</v>
      </c>
      <c r="V999">
        <v>335</v>
      </c>
      <c r="W999">
        <v>161</v>
      </c>
    </row>
    <row r="1000" spans="11:23" x14ac:dyDescent="0.3">
      <c r="K1000">
        <v>999</v>
      </c>
      <c r="L1000">
        <f t="shared" ca="1" si="17"/>
        <v>711.39397031926137</v>
      </c>
      <c r="M1000">
        <f ca="1">IF(L1000&lt;=0,0,10^(MultiLogRegr1stWeek!$B$17+LOG10(L1000)*MultiLogRegr1stWeek!$B$18+MultiLogRegr1stWeek!$B$19*14+MultiLogRegr1stWeek!$B$20*0))</f>
        <v>325.02715382062092</v>
      </c>
      <c r="U1000">
        <v>998</v>
      </c>
      <c r="V1000">
        <v>345</v>
      </c>
      <c r="W1000">
        <v>165</v>
      </c>
    </row>
    <row r="1001" spans="11:23" x14ac:dyDescent="0.3">
      <c r="K1001">
        <v>1000</v>
      </c>
      <c r="L1001">
        <f t="shared" ca="1" si="17"/>
        <v>674.20159070488535</v>
      </c>
      <c r="M1001">
        <f ca="1">IF(L1001&lt;=0,0,10^(MultiLogRegr1stWeek!$B$17+LOG10(L1001)*MultiLogRegr1stWeek!$B$18+MultiLogRegr1stWeek!$B$19*14+MultiLogRegr1stWeek!$B$20*0))</f>
        <v>307.68532866931372</v>
      </c>
      <c r="U1001">
        <v>999</v>
      </c>
      <c r="V1001">
        <v>340</v>
      </c>
      <c r="W1001">
        <v>161</v>
      </c>
    </row>
    <row r="1002" spans="11:23" x14ac:dyDescent="0.3">
      <c r="U1002">
        <v>1000</v>
      </c>
      <c r="V1002">
        <v>330</v>
      </c>
      <c r="W1002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746A-365A-49B7-B8AA-784E30777A2E}">
  <dimension ref="A1:S21"/>
  <sheetViews>
    <sheetView zoomScale="91" workbookViewId="0">
      <selection activeCell="C3" sqref="C3"/>
    </sheetView>
  </sheetViews>
  <sheetFormatPr defaultRowHeight="14.4" x14ac:dyDescent="0.3"/>
  <cols>
    <col min="1" max="1" width="16.33203125" bestFit="1" customWidth="1"/>
    <col min="2" max="2" width="9.44140625" bestFit="1" customWidth="1"/>
    <col min="3" max="3" width="28.5546875" bestFit="1" customWidth="1"/>
    <col min="4" max="4" width="43" customWidth="1"/>
    <col min="5" max="5" width="21.21875" bestFit="1" customWidth="1"/>
    <col min="6" max="6" width="13.33203125" bestFit="1" customWidth="1"/>
    <col min="8" max="8" width="26.77734375" bestFit="1" customWidth="1"/>
    <col min="9" max="9" width="27.5546875" bestFit="1" customWidth="1"/>
    <col min="10" max="10" width="33" bestFit="1" customWidth="1"/>
    <col min="11" max="11" width="24.44140625" bestFit="1" customWidth="1"/>
    <col min="12" max="12" width="17.109375" bestFit="1" customWidth="1"/>
    <col min="13" max="13" width="12.5546875" bestFit="1" customWidth="1"/>
    <col min="14" max="14" width="15" bestFit="1" customWidth="1"/>
    <col min="15" max="15" width="10.109375" bestFit="1" customWidth="1"/>
    <col min="17" max="17" width="11.6640625" bestFit="1" customWidth="1"/>
    <col min="18" max="18" width="10.77734375" bestFit="1" customWidth="1"/>
    <col min="19" max="19" width="9.21875" bestFit="1" customWidth="1"/>
  </cols>
  <sheetData>
    <row r="1" spans="1:19" x14ac:dyDescent="0.3">
      <c r="A1" s="1" t="s">
        <v>0</v>
      </c>
      <c r="B1" s="1" t="s">
        <v>20</v>
      </c>
      <c r="C1" s="1" t="s">
        <v>7</v>
      </c>
      <c r="D1" s="1" t="s">
        <v>8</v>
      </c>
      <c r="E1" s="7" t="s">
        <v>21</v>
      </c>
      <c r="F1" s="7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Q1" s="1" t="s">
        <v>31</v>
      </c>
      <c r="R1" s="1" t="s">
        <v>32</v>
      </c>
      <c r="S1" s="1" t="s">
        <v>33</v>
      </c>
    </row>
    <row r="2" spans="1:19" x14ac:dyDescent="0.3">
      <c r="A2" s="8">
        <v>11</v>
      </c>
      <c r="B2" s="8">
        <v>153</v>
      </c>
      <c r="C2" s="8">
        <v>155</v>
      </c>
      <c r="D2" s="8">
        <v>198</v>
      </c>
      <c r="E2" s="1">
        <v>7</v>
      </c>
      <c r="F2" s="1">
        <v>91</v>
      </c>
      <c r="H2" s="1">
        <v>198</v>
      </c>
      <c r="I2" s="1">
        <f>MAX(H2-F2,0)</f>
        <v>107</v>
      </c>
      <c r="J2" s="1">
        <f t="shared" ref="J2:J15" si="0">MAX(C2-F2-I2,0)</f>
        <v>0</v>
      </c>
      <c r="K2" s="1">
        <f t="shared" ref="K2:K15" si="1">E2*$B$21</f>
        <v>84</v>
      </c>
      <c r="L2" s="1">
        <f>MIN(J2,K2)</f>
        <v>0</v>
      </c>
      <c r="M2" s="1">
        <f>(H2+L2)*$B$18</f>
        <v>26730</v>
      </c>
      <c r="N2" s="1">
        <f>L2*$B$20+H2*$B$19</f>
        <v>12870</v>
      </c>
      <c r="O2" s="1">
        <f>M2-N2</f>
        <v>13860</v>
      </c>
      <c r="Q2" s="1">
        <f>MIN(D2)*$B$18</f>
        <v>26730</v>
      </c>
      <c r="R2" s="1">
        <f t="shared" ref="R2:R15" si="2">D2*$B$19</f>
        <v>12870</v>
      </c>
      <c r="S2" s="1">
        <f>Q2-R2</f>
        <v>13860</v>
      </c>
    </row>
    <row r="3" spans="1:19" x14ac:dyDescent="0.3">
      <c r="A3" s="8">
        <v>12</v>
      </c>
      <c r="B3" s="8">
        <v>322</v>
      </c>
      <c r="C3" s="8">
        <v>211</v>
      </c>
      <c r="D3" s="8">
        <v>226</v>
      </c>
      <c r="E3" s="1">
        <v>7</v>
      </c>
      <c r="F3" s="1">
        <v>79</v>
      </c>
      <c r="H3" s="1">
        <v>226</v>
      </c>
      <c r="I3" s="1">
        <f t="shared" ref="I3:I15" si="3">MAX(H3-F3,0)</f>
        <v>147</v>
      </c>
      <c r="J3" s="1">
        <f t="shared" si="0"/>
        <v>0</v>
      </c>
      <c r="K3" s="1">
        <f t="shared" si="1"/>
        <v>84</v>
      </c>
      <c r="L3" s="1">
        <f t="shared" ref="L3:L15" si="4">MIN(J3,K3)</f>
        <v>0</v>
      </c>
      <c r="M3" s="1">
        <f t="shared" ref="M3:M15" si="5">(H3+L3)*$B$18</f>
        <v>30510</v>
      </c>
      <c r="N3" s="1">
        <f t="shared" ref="N3:N15" si="6">L3*$B$20+H3*$B$19</f>
        <v>14690</v>
      </c>
      <c r="O3" s="1">
        <f t="shared" ref="O3:O15" si="7">M3-N3</f>
        <v>15820</v>
      </c>
      <c r="Q3" s="1">
        <f t="shared" ref="Q3:Q15" si="8">MIN(D3)*$B$18</f>
        <v>30510</v>
      </c>
      <c r="R3" s="1">
        <f t="shared" si="2"/>
        <v>14690</v>
      </c>
      <c r="S3" s="1">
        <f t="shared" ref="S3:S15" si="9">Q3-R3</f>
        <v>15820</v>
      </c>
    </row>
    <row r="4" spans="1:19" x14ac:dyDescent="0.3">
      <c r="A4" s="8">
        <v>13</v>
      </c>
      <c r="B4" s="8">
        <v>298</v>
      </c>
      <c r="C4" s="8">
        <v>372</v>
      </c>
      <c r="D4" s="8">
        <v>442</v>
      </c>
      <c r="E4" s="1">
        <v>9</v>
      </c>
      <c r="F4" s="1">
        <v>116</v>
      </c>
      <c r="H4" s="1">
        <v>442</v>
      </c>
      <c r="I4" s="1">
        <f t="shared" si="3"/>
        <v>326</v>
      </c>
      <c r="J4" s="1">
        <f t="shared" si="0"/>
        <v>0</v>
      </c>
      <c r="K4" s="1">
        <f t="shared" si="1"/>
        <v>108</v>
      </c>
      <c r="L4" s="1">
        <f t="shared" si="4"/>
        <v>0</v>
      </c>
      <c r="M4" s="1">
        <f t="shared" si="5"/>
        <v>59670</v>
      </c>
      <c r="N4" s="1">
        <f t="shared" si="6"/>
        <v>28730</v>
      </c>
      <c r="O4" s="1">
        <f t="shared" si="7"/>
        <v>30940</v>
      </c>
      <c r="Q4" s="1">
        <f t="shared" si="8"/>
        <v>59670</v>
      </c>
      <c r="R4" s="1">
        <f t="shared" si="2"/>
        <v>28730</v>
      </c>
      <c r="S4" s="1">
        <f t="shared" si="9"/>
        <v>30940</v>
      </c>
    </row>
    <row r="5" spans="1:19" x14ac:dyDescent="0.3">
      <c r="A5" s="8">
        <v>14</v>
      </c>
      <c r="B5" s="8">
        <v>133</v>
      </c>
      <c r="C5" s="8">
        <v>147</v>
      </c>
      <c r="D5" s="8">
        <v>226</v>
      </c>
      <c r="E5" s="1">
        <v>19</v>
      </c>
      <c r="F5" s="1">
        <v>120</v>
      </c>
      <c r="H5" s="1">
        <v>226</v>
      </c>
      <c r="I5" s="1">
        <f t="shared" si="3"/>
        <v>106</v>
      </c>
      <c r="J5" s="1">
        <f t="shared" si="0"/>
        <v>0</v>
      </c>
      <c r="K5" s="1">
        <f t="shared" si="1"/>
        <v>228</v>
      </c>
      <c r="L5" s="1">
        <f t="shared" si="4"/>
        <v>0</v>
      </c>
      <c r="M5" s="1">
        <f t="shared" si="5"/>
        <v>30510</v>
      </c>
      <c r="N5" s="1">
        <f t="shared" si="6"/>
        <v>14690</v>
      </c>
      <c r="O5" s="1">
        <f t="shared" si="7"/>
        <v>15820</v>
      </c>
      <c r="Q5" s="1">
        <f t="shared" si="8"/>
        <v>30510</v>
      </c>
      <c r="R5" s="1">
        <f t="shared" si="2"/>
        <v>14690</v>
      </c>
      <c r="S5" s="1">
        <f t="shared" si="9"/>
        <v>15820</v>
      </c>
    </row>
    <row r="6" spans="1:19" x14ac:dyDescent="0.3">
      <c r="A6" s="8">
        <v>15</v>
      </c>
      <c r="B6" s="8">
        <v>192</v>
      </c>
      <c r="C6" s="8">
        <v>233</v>
      </c>
      <c r="D6" s="8">
        <v>258</v>
      </c>
      <c r="E6" s="1">
        <v>9</v>
      </c>
      <c r="F6" s="1">
        <v>49</v>
      </c>
      <c r="H6" s="1">
        <v>258</v>
      </c>
      <c r="I6" s="1">
        <f t="shared" si="3"/>
        <v>209</v>
      </c>
      <c r="J6" s="1">
        <f t="shared" si="0"/>
        <v>0</v>
      </c>
      <c r="K6" s="1">
        <f t="shared" si="1"/>
        <v>108</v>
      </c>
      <c r="L6" s="1">
        <f t="shared" si="4"/>
        <v>0</v>
      </c>
      <c r="M6" s="1">
        <f t="shared" si="5"/>
        <v>34830</v>
      </c>
      <c r="N6" s="1">
        <f t="shared" si="6"/>
        <v>16770</v>
      </c>
      <c r="O6" s="1">
        <f t="shared" si="7"/>
        <v>18060</v>
      </c>
      <c r="Q6" s="1">
        <f t="shared" si="8"/>
        <v>34830</v>
      </c>
      <c r="R6" s="1">
        <f t="shared" si="2"/>
        <v>16770</v>
      </c>
      <c r="S6" s="1">
        <f t="shared" si="9"/>
        <v>18060</v>
      </c>
    </row>
    <row r="7" spans="1:19" x14ac:dyDescent="0.3">
      <c r="A7" s="8">
        <v>16</v>
      </c>
      <c r="B7" s="8">
        <v>198</v>
      </c>
      <c r="C7" s="8">
        <v>156</v>
      </c>
      <c r="D7" s="8">
        <v>198</v>
      </c>
      <c r="E7" s="1">
        <v>11</v>
      </c>
      <c r="F7" s="1">
        <v>114</v>
      </c>
      <c r="H7" s="1">
        <v>198</v>
      </c>
      <c r="I7" s="1">
        <f t="shared" si="3"/>
        <v>84</v>
      </c>
      <c r="J7" s="1">
        <f t="shared" si="0"/>
        <v>0</v>
      </c>
      <c r="K7" s="1">
        <f t="shared" si="1"/>
        <v>132</v>
      </c>
      <c r="L7" s="1">
        <f t="shared" si="4"/>
        <v>0</v>
      </c>
      <c r="M7" s="1">
        <f t="shared" si="5"/>
        <v>26730</v>
      </c>
      <c r="N7" s="1">
        <f t="shared" si="6"/>
        <v>12870</v>
      </c>
      <c r="O7" s="1">
        <f t="shared" si="7"/>
        <v>13860</v>
      </c>
      <c r="Q7" s="1">
        <f t="shared" si="8"/>
        <v>26730</v>
      </c>
      <c r="R7" s="1">
        <f t="shared" si="2"/>
        <v>12870</v>
      </c>
      <c r="S7" s="1">
        <f t="shared" si="9"/>
        <v>13860</v>
      </c>
    </row>
    <row r="8" spans="1:19" x14ac:dyDescent="0.3">
      <c r="A8" s="8">
        <v>17</v>
      </c>
      <c r="B8" s="8">
        <v>991</v>
      </c>
      <c r="C8" s="8">
        <v>697</v>
      </c>
      <c r="D8" s="8">
        <v>863</v>
      </c>
      <c r="E8" s="1">
        <v>7</v>
      </c>
      <c r="F8" s="1">
        <v>80</v>
      </c>
      <c r="H8" s="1">
        <v>863</v>
      </c>
      <c r="I8" s="1">
        <f t="shared" si="3"/>
        <v>783</v>
      </c>
      <c r="J8" s="1">
        <f t="shared" si="0"/>
        <v>0</v>
      </c>
      <c r="K8" s="1">
        <f t="shared" si="1"/>
        <v>84</v>
      </c>
      <c r="L8" s="1">
        <f t="shared" si="4"/>
        <v>0</v>
      </c>
      <c r="M8" s="1">
        <f t="shared" si="5"/>
        <v>116505</v>
      </c>
      <c r="N8" s="1">
        <f t="shared" si="6"/>
        <v>56095</v>
      </c>
      <c r="O8" s="1">
        <f t="shared" si="7"/>
        <v>60410</v>
      </c>
      <c r="Q8" s="1">
        <f t="shared" si="8"/>
        <v>116505</v>
      </c>
      <c r="R8" s="1">
        <f t="shared" si="2"/>
        <v>56095</v>
      </c>
      <c r="S8" s="1">
        <f t="shared" si="9"/>
        <v>60410</v>
      </c>
    </row>
    <row r="9" spans="1:19" x14ac:dyDescent="0.3">
      <c r="A9" s="8">
        <v>18</v>
      </c>
      <c r="B9" s="8">
        <v>1244</v>
      </c>
      <c r="C9" s="8">
        <v>1244</v>
      </c>
      <c r="D9" s="8">
        <v>1244</v>
      </c>
      <c r="E9" s="1">
        <v>29</v>
      </c>
      <c r="F9" s="1">
        <v>136</v>
      </c>
      <c r="H9" s="1">
        <v>1244</v>
      </c>
      <c r="I9" s="1">
        <f t="shared" si="3"/>
        <v>1108</v>
      </c>
      <c r="J9" s="1">
        <f t="shared" si="0"/>
        <v>0</v>
      </c>
      <c r="K9" s="1">
        <f t="shared" si="1"/>
        <v>348</v>
      </c>
      <c r="L9" s="1">
        <f t="shared" si="4"/>
        <v>0</v>
      </c>
      <c r="M9" s="1">
        <f t="shared" si="5"/>
        <v>167940</v>
      </c>
      <c r="N9" s="1">
        <f t="shared" si="6"/>
        <v>80860</v>
      </c>
      <c r="O9" s="1">
        <f t="shared" si="7"/>
        <v>87080</v>
      </c>
      <c r="Q9" s="1">
        <f t="shared" si="8"/>
        <v>167940</v>
      </c>
      <c r="R9" s="1">
        <f t="shared" si="2"/>
        <v>80860</v>
      </c>
      <c r="S9" s="1">
        <f t="shared" si="9"/>
        <v>87080</v>
      </c>
    </row>
    <row r="10" spans="1:19" x14ac:dyDescent="0.3">
      <c r="A10" s="8">
        <v>19</v>
      </c>
      <c r="B10" s="8">
        <v>855</v>
      </c>
      <c r="C10" s="8">
        <v>757</v>
      </c>
      <c r="D10" s="8">
        <v>505</v>
      </c>
      <c r="E10" s="1">
        <v>28</v>
      </c>
      <c r="F10" s="1">
        <v>168</v>
      </c>
      <c r="H10" s="1">
        <v>505</v>
      </c>
      <c r="I10" s="1">
        <f t="shared" si="3"/>
        <v>337</v>
      </c>
      <c r="J10" s="1">
        <f t="shared" si="0"/>
        <v>252</v>
      </c>
      <c r="K10" s="1">
        <f t="shared" si="1"/>
        <v>336</v>
      </c>
      <c r="L10" s="1">
        <f t="shared" si="4"/>
        <v>252</v>
      </c>
      <c r="M10" s="1">
        <f t="shared" si="5"/>
        <v>102195</v>
      </c>
      <c r="N10" s="1">
        <f t="shared" si="6"/>
        <v>56765</v>
      </c>
      <c r="O10" s="1">
        <f t="shared" si="7"/>
        <v>45430</v>
      </c>
      <c r="Q10" s="1">
        <f t="shared" si="8"/>
        <v>68175</v>
      </c>
      <c r="R10" s="1">
        <f t="shared" si="2"/>
        <v>32825</v>
      </c>
      <c r="S10" s="1">
        <f t="shared" si="9"/>
        <v>35350</v>
      </c>
    </row>
    <row r="11" spans="1:19" x14ac:dyDescent="0.3">
      <c r="A11" s="8">
        <v>20</v>
      </c>
      <c r="B11" s="8">
        <v>291</v>
      </c>
      <c r="C11" s="8">
        <v>362</v>
      </c>
      <c r="D11" s="8">
        <v>242</v>
      </c>
      <c r="E11" s="1">
        <v>21</v>
      </c>
      <c r="F11" s="1">
        <v>232</v>
      </c>
      <c r="H11" s="1">
        <v>242</v>
      </c>
      <c r="I11" s="1">
        <f t="shared" si="3"/>
        <v>10</v>
      </c>
      <c r="J11" s="1">
        <f t="shared" si="0"/>
        <v>120</v>
      </c>
      <c r="K11" s="1">
        <f t="shared" si="1"/>
        <v>252</v>
      </c>
      <c r="L11" s="1">
        <f t="shared" si="4"/>
        <v>120</v>
      </c>
      <c r="M11" s="1">
        <f t="shared" si="5"/>
        <v>48870</v>
      </c>
      <c r="N11" s="1">
        <f t="shared" si="6"/>
        <v>27130</v>
      </c>
      <c r="O11" s="1">
        <f t="shared" si="7"/>
        <v>21740</v>
      </c>
      <c r="Q11" s="1">
        <f t="shared" si="8"/>
        <v>32670</v>
      </c>
      <c r="R11" s="1">
        <f t="shared" si="2"/>
        <v>15730</v>
      </c>
      <c r="S11" s="1">
        <f t="shared" si="9"/>
        <v>16940</v>
      </c>
    </row>
    <row r="12" spans="1:19" x14ac:dyDescent="0.3">
      <c r="A12" s="8">
        <v>21</v>
      </c>
      <c r="B12" s="8">
        <v>143</v>
      </c>
      <c r="C12" s="8">
        <v>151</v>
      </c>
      <c r="D12" s="8">
        <v>162</v>
      </c>
      <c r="E12" s="1">
        <v>10</v>
      </c>
      <c r="F12" s="1">
        <v>206</v>
      </c>
      <c r="H12" s="1">
        <v>162</v>
      </c>
      <c r="I12" s="1">
        <f t="shared" si="3"/>
        <v>0</v>
      </c>
      <c r="J12" s="1">
        <f t="shared" si="0"/>
        <v>0</v>
      </c>
      <c r="K12" s="1">
        <f t="shared" si="1"/>
        <v>120</v>
      </c>
      <c r="L12" s="1">
        <f t="shared" si="4"/>
        <v>0</v>
      </c>
      <c r="M12" s="1">
        <f t="shared" si="5"/>
        <v>21870</v>
      </c>
      <c r="N12" s="1">
        <f t="shared" si="6"/>
        <v>10530</v>
      </c>
      <c r="O12" s="1">
        <f t="shared" si="7"/>
        <v>11340</v>
      </c>
      <c r="Q12" s="1">
        <f t="shared" si="8"/>
        <v>21870</v>
      </c>
      <c r="R12" s="1">
        <f t="shared" si="2"/>
        <v>10530</v>
      </c>
      <c r="S12" s="1">
        <f t="shared" si="9"/>
        <v>11340</v>
      </c>
    </row>
    <row r="13" spans="1:19" x14ac:dyDescent="0.3">
      <c r="A13" s="8">
        <v>22</v>
      </c>
      <c r="B13" s="8">
        <v>253</v>
      </c>
      <c r="C13" s="8">
        <v>191</v>
      </c>
      <c r="D13" s="8">
        <v>198</v>
      </c>
      <c r="E13" s="1">
        <v>4</v>
      </c>
      <c r="F13" s="1">
        <v>104</v>
      </c>
      <c r="H13" s="1">
        <v>198</v>
      </c>
      <c r="I13" s="1">
        <f t="shared" si="3"/>
        <v>94</v>
      </c>
      <c r="J13" s="1">
        <f t="shared" si="0"/>
        <v>0</v>
      </c>
      <c r="K13" s="1">
        <f t="shared" si="1"/>
        <v>48</v>
      </c>
      <c r="L13" s="1">
        <f t="shared" si="4"/>
        <v>0</v>
      </c>
      <c r="M13" s="1">
        <f t="shared" si="5"/>
        <v>26730</v>
      </c>
      <c r="N13" s="1">
        <f t="shared" si="6"/>
        <v>12870</v>
      </c>
      <c r="O13" s="1">
        <f t="shared" si="7"/>
        <v>13860</v>
      </c>
      <c r="Q13" s="1">
        <f t="shared" si="8"/>
        <v>26730</v>
      </c>
      <c r="R13" s="1">
        <f t="shared" si="2"/>
        <v>12870</v>
      </c>
      <c r="S13" s="1">
        <f t="shared" si="9"/>
        <v>13860</v>
      </c>
    </row>
    <row r="14" spans="1:19" x14ac:dyDescent="0.3">
      <c r="A14" s="8">
        <v>23</v>
      </c>
      <c r="B14" s="8">
        <v>385</v>
      </c>
      <c r="C14" s="8">
        <v>241</v>
      </c>
      <c r="D14" s="8">
        <v>185</v>
      </c>
      <c r="E14" s="1">
        <v>7</v>
      </c>
      <c r="F14" s="1">
        <v>117</v>
      </c>
      <c r="H14" s="1">
        <v>185</v>
      </c>
      <c r="I14" s="1">
        <f t="shared" si="3"/>
        <v>68</v>
      </c>
      <c r="J14" s="1">
        <f t="shared" si="0"/>
        <v>56</v>
      </c>
      <c r="K14" s="1">
        <f t="shared" si="1"/>
        <v>84</v>
      </c>
      <c r="L14" s="1">
        <f t="shared" si="4"/>
        <v>56</v>
      </c>
      <c r="M14" s="1">
        <f t="shared" si="5"/>
        <v>32535</v>
      </c>
      <c r="N14" s="1">
        <f t="shared" si="6"/>
        <v>17345</v>
      </c>
      <c r="O14" s="1">
        <f t="shared" si="7"/>
        <v>15190</v>
      </c>
      <c r="Q14" s="1">
        <f t="shared" si="8"/>
        <v>24975</v>
      </c>
      <c r="R14" s="1">
        <f t="shared" si="2"/>
        <v>12025</v>
      </c>
      <c r="S14" s="1">
        <f t="shared" si="9"/>
        <v>12950</v>
      </c>
    </row>
    <row r="15" spans="1:19" x14ac:dyDescent="0.3">
      <c r="A15" s="8">
        <v>24</v>
      </c>
      <c r="B15" s="8">
        <v>338</v>
      </c>
      <c r="C15" s="8">
        <v>355</v>
      </c>
      <c r="D15" s="8">
        <v>316</v>
      </c>
      <c r="E15" s="1">
        <v>6</v>
      </c>
      <c r="F15" s="1">
        <v>171</v>
      </c>
      <c r="H15" s="1">
        <v>316</v>
      </c>
      <c r="I15" s="1">
        <f t="shared" si="3"/>
        <v>145</v>
      </c>
      <c r="J15" s="1">
        <f t="shared" si="0"/>
        <v>39</v>
      </c>
      <c r="K15" s="1">
        <f t="shared" si="1"/>
        <v>72</v>
      </c>
      <c r="L15" s="1">
        <f t="shared" si="4"/>
        <v>39</v>
      </c>
      <c r="M15" s="1">
        <f t="shared" si="5"/>
        <v>47925</v>
      </c>
      <c r="N15" s="1">
        <f t="shared" si="6"/>
        <v>24245</v>
      </c>
      <c r="O15" s="1">
        <f t="shared" si="7"/>
        <v>23680</v>
      </c>
      <c r="Q15" s="1">
        <f t="shared" si="8"/>
        <v>42660</v>
      </c>
      <c r="R15" s="1">
        <f t="shared" si="2"/>
        <v>20540</v>
      </c>
      <c r="S15" s="1">
        <f t="shared" si="9"/>
        <v>22120</v>
      </c>
    </row>
    <row r="16" spans="1:19" x14ac:dyDescent="0.3">
      <c r="N16" s="5" t="s">
        <v>34</v>
      </c>
      <c r="O16" s="6">
        <f>SUM(O2:O15)</f>
        <v>387090</v>
      </c>
      <c r="R16" s="5" t="s">
        <v>35</v>
      </c>
      <c r="S16" s="6">
        <f>SUM(S2:S15)</f>
        <v>368410</v>
      </c>
    </row>
    <row r="17" spans="1:5" ht="15" thickBot="1" x14ac:dyDescent="0.35"/>
    <row r="18" spans="1:5" x14ac:dyDescent="0.3">
      <c r="A18" s="9" t="s">
        <v>36</v>
      </c>
      <c r="B18" s="10">
        <v>135</v>
      </c>
    </row>
    <row r="19" spans="1:5" x14ac:dyDescent="0.3">
      <c r="A19" s="11" t="s">
        <v>37</v>
      </c>
      <c r="B19" s="12">
        <v>65</v>
      </c>
    </row>
    <row r="20" spans="1:5" x14ac:dyDescent="0.3">
      <c r="A20" s="11" t="s">
        <v>38</v>
      </c>
      <c r="B20" s="12">
        <v>95</v>
      </c>
    </row>
    <row r="21" spans="1:5" ht="15" thickBot="1" x14ac:dyDescent="0.35">
      <c r="A21" s="13" t="s">
        <v>39</v>
      </c>
      <c r="B21" s="14">
        <v>12</v>
      </c>
      <c r="D21" s="18" t="s">
        <v>76</v>
      </c>
      <c r="E21" s="19">
        <f>O16-S16</f>
        <v>18680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EF34-FD51-40A3-8489-3202FCF1652D}">
  <dimension ref="A1:I49"/>
  <sheetViews>
    <sheetView zoomScale="72" workbookViewId="0">
      <selection sqref="A1:AC53"/>
    </sheetView>
  </sheetViews>
  <sheetFormatPr defaultRowHeight="14.4" x14ac:dyDescent="0.3"/>
  <cols>
    <col min="1" max="1" width="17.44140625" bestFit="1" customWidth="1"/>
    <col min="2" max="2" width="16.88671875" customWidth="1"/>
    <col min="3" max="3" width="13.5546875" bestFit="1" customWidth="1"/>
  </cols>
  <sheetData>
    <row r="1" spans="1:9" x14ac:dyDescent="0.3">
      <c r="A1" t="s">
        <v>40</v>
      </c>
    </row>
    <row r="2" spans="1:9" ht="15" thickBot="1" x14ac:dyDescent="0.35"/>
    <row r="3" spans="1:9" x14ac:dyDescent="0.3">
      <c r="A3" s="15" t="s">
        <v>41</v>
      </c>
      <c r="B3" s="15"/>
    </row>
    <row r="4" spans="1:9" x14ac:dyDescent="0.3">
      <c r="A4" t="s">
        <v>42</v>
      </c>
      <c r="B4">
        <v>0.93246639967373024</v>
      </c>
    </row>
    <row r="5" spans="1:9" x14ac:dyDescent="0.3">
      <c r="A5" t="s">
        <v>43</v>
      </c>
      <c r="B5">
        <v>0.86949358652048891</v>
      </c>
    </row>
    <row r="6" spans="1:9" x14ac:dyDescent="0.3">
      <c r="A6" t="s">
        <v>44</v>
      </c>
      <c r="B6">
        <v>0.84888731070793444</v>
      </c>
    </row>
    <row r="7" spans="1:9" x14ac:dyDescent="0.3">
      <c r="A7" t="s">
        <v>45</v>
      </c>
      <c r="B7">
        <v>0.10689173462747853</v>
      </c>
    </row>
    <row r="8" spans="1:9" ht="15" thickBot="1" x14ac:dyDescent="0.35">
      <c r="A8" s="16" t="s">
        <v>46</v>
      </c>
      <c r="B8" s="16">
        <v>23</v>
      </c>
    </row>
    <row r="10" spans="1:9" ht="15" thickBot="1" x14ac:dyDescent="0.35">
      <c r="A10" t="s">
        <v>47</v>
      </c>
    </row>
    <row r="11" spans="1:9" x14ac:dyDescent="0.3">
      <c r="A11" s="17"/>
      <c r="B11" s="17" t="s">
        <v>48</v>
      </c>
      <c r="C11" s="17" t="s">
        <v>49</v>
      </c>
      <c r="D11" s="17" t="s">
        <v>50</v>
      </c>
      <c r="E11" s="17" t="s">
        <v>51</v>
      </c>
      <c r="F11" s="17" t="s">
        <v>52</v>
      </c>
    </row>
    <row r="12" spans="1:9" x14ac:dyDescent="0.3">
      <c r="A12" t="s">
        <v>53</v>
      </c>
      <c r="B12">
        <v>3</v>
      </c>
      <c r="C12">
        <v>1.4463599206450388</v>
      </c>
      <c r="D12">
        <v>0.48211997354834629</v>
      </c>
      <c r="E12">
        <v>42.195571603033159</v>
      </c>
      <c r="F12">
        <v>1.3461410193064541E-8</v>
      </c>
    </row>
    <row r="13" spans="1:9" x14ac:dyDescent="0.3">
      <c r="A13" t="s">
        <v>54</v>
      </c>
      <c r="B13">
        <v>19</v>
      </c>
      <c r="C13">
        <v>0.21709101570175454</v>
      </c>
      <c r="D13">
        <v>1.1425842931671292E-2</v>
      </c>
    </row>
    <row r="14" spans="1:9" ht="15" thickBot="1" x14ac:dyDescent="0.35">
      <c r="A14" s="16" t="s">
        <v>55</v>
      </c>
      <c r="B14" s="16">
        <v>22</v>
      </c>
      <c r="C14" s="16">
        <v>1.6634509363467933</v>
      </c>
      <c r="D14" s="16"/>
      <c r="E14" s="16"/>
      <c r="F14" s="16"/>
    </row>
    <row r="15" spans="1:9" ht="15" thickBot="1" x14ac:dyDescent="0.35"/>
    <row r="16" spans="1:9" x14ac:dyDescent="0.3">
      <c r="A16" s="17"/>
      <c r="B16" s="17" t="s">
        <v>56</v>
      </c>
      <c r="C16" s="17" t="s">
        <v>45</v>
      </c>
      <c r="D16" s="17" t="s">
        <v>57</v>
      </c>
      <c r="E16" s="17" t="s">
        <v>58</v>
      </c>
      <c r="F16" s="17" t="s">
        <v>59</v>
      </c>
      <c r="G16" s="17" t="s">
        <v>60</v>
      </c>
      <c r="H16" s="17" t="s">
        <v>61</v>
      </c>
      <c r="I16" s="17" t="s">
        <v>62</v>
      </c>
    </row>
    <row r="17" spans="1:9" x14ac:dyDescent="0.3">
      <c r="A17" t="s">
        <v>63</v>
      </c>
      <c r="B17">
        <v>1.6749987585010004</v>
      </c>
      <c r="C17">
        <v>8.1554434839796103E-2</v>
      </c>
      <c r="D17">
        <v>20.538414149902877</v>
      </c>
      <c r="E17">
        <v>1.9638479911213242E-14</v>
      </c>
      <c r="F17">
        <v>1.504303364637632</v>
      </c>
      <c r="G17">
        <v>1.8456941523643688</v>
      </c>
      <c r="H17">
        <v>1.504303364637632</v>
      </c>
      <c r="I17">
        <v>1.8456941523643688</v>
      </c>
    </row>
    <row r="18" spans="1:9" x14ac:dyDescent="0.3">
      <c r="A18" t="s">
        <v>3</v>
      </c>
      <c r="B18">
        <v>0.20071871798254803</v>
      </c>
      <c r="C18">
        <v>0.12886680453324195</v>
      </c>
      <c r="D18">
        <v>1.5575672781641099</v>
      </c>
      <c r="E18">
        <v>0.13583672934124863</v>
      </c>
      <c r="F18">
        <v>-6.900260372026118E-2</v>
      </c>
      <c r="G18">
        <v>0.47044003968535725</v>
      </c>
      <c r="H18">
        <v>-6.900260372026118E-2</v>
      </c>
      <c r="I18">
        <v>0.47044003968535725</v>
      </c>
    </row>
    <row r="19" spans="1:9" x14ac:dyDescent="0.3">
      <c r="A19" t="s">
        <v>4</v>
      </c>
      <c r="B19">
        <v>2.359631374317667E-2</v>
      </c>
      <c r="C19">
        <v>4.0200549376908446E-3</v>
      </c>
      <c r="D19">
        <v>5.8696495716873471</v>
      </c>
      <c r="E19">
        <v>1.1854092195443466E-5</v>
      </c>
      <c r="F19">
        <v>1.5182242058546834E-2</v>
      </c>
      <c r="G19">
        <v>3.2010385427806508E-2</v>
      </c>
      <c r="H19">
        <v>1.5182242058546834E-2</v>
      </c>
      <c r="I19">
        <v>3.2010385427806508E-2</v>
      </c>
    </row>
    <row r="20" spans="1:9" ht="15" thickBot="1" x14ac:dyDescent="0.35">
      <c r="A20" s="16" t="s">
        <v>5</v>
      </c>
      <c r="B20" s="16">
        <v>2.3406662075004013E-3</v>
      </c>
      <c r="C20" s="16">
        <v>4.3050281261810115E-4</v>
      </c>
      <c r="D20" s="16">
        <v>5.437052067710427</v>
      </c>
      <c r="E20" s="16">
        <v>3.0236880927348659E-5</v>
      </c>
      <c r="F20" s="16">
        <v>1.4396134652002826E-3</v>
      </c>
      <c r="G20" s="16">
        <v>3.2417189498005201E-3</v>
      </c>
      <c r="H20" s="16">
        <v>1.4396134652002826E-3</v>
      </c>
      <c r="I20" s="16">
        <v>3.2417189498005201E-3</v>
      </c>
    </row>
    <row r="24" spans="1:9" x14ac:dyDescent="0.3">
      <c r="A24" t="s">
        <v>64</v>
      </c>
      <c r="F24" t="s">
        <v>65</v>
      </c>
    </row>
    <row r="25" spans="1:9" ht="15" thickBot="1" x14ac:dyDescent="0.35"/>
    <row r="26" spans="1:9" x14ac:dyDescent="0.3">
      <c r="A26" s="17" t="s">
        <v>66</v>
      </c>
      <c r="B26" s="17" t="s">
        <v>71</v>
      </c>
      <c r="C26" s="17" t="s">
        <v>68</v>
      </c>
      <c r="D26" s="17" t="s">
        <v>69</v>
      </c>
      <c r="F26" s="17" t="s">
        <v>70</v>
      </c>
      <c r="G26" s="17" t="s">
        <v>2</v>
      </c>
    </row>
    <row r="27" spans="1:9" x14ac:dyDescent="0.3">
      <c r="A27">
        <v>1</v>
      </c>
      <c r="B27">
        <v>2.388203304405248</v>
      </c>
      <c r="C27">
        <v>-0.15015720127645249</v>
      </c>
      <c r="D27">
        <v>-1.5115989450880629</v>
      </c>
      <c r="F27">
        <v>2.1739130434782608</v>
      </c>
      <c r="G27">
        <v>2.1238516409670858</v>
      </c>
    </row>
    <row r="28" spans="1:9" x14ac:dyDescent="0.3">
      <c r="A28">
        <v>2</v>
      </c>
      <c r="B28">
        <v>2.4233132975177538</v>
      </c>
      <c r="C28">
        <v>-0.13105722616127791</v>
      </c>
      <c r="D28">
        <v>-1.319323769539531</v>
      </c>
      <c r="F28">
        <v>6.5217391304347823</v>
      </c>
      <c r="G28">
        <v>2.1303337684950061</v>
      </c>
    </row>
    <row r="29" spans="1:9" x14ac:dyDescent="0.3">
      <c r="A29">
        <v>3</v>
      </c>
      <c r="B29">
        <v>2.3445540993248595</v>
      </c>
      <c r="C29">
        <v>-5.4519487962341628E-2</v>
      </c>
      <c r="D29">
        <v>-0.54883548567803964</v>
      </c>
      <c r="F29">
        <v>10.869565217391305</v>
      </c>
      <c r="G29">
        <v>2.1553360374650619</v>
      </c>
    </row>
    <row r="30" spans="1:9" x14ac:dyDescent="0.3">
      <c r="A30">
        <v>4</v>
      </c>
      <c r="B30">
        <v>2.2700320840211918</v>
      </c>
      <c r="C30">
        <v>5.218721071272725E-2</v>
      </c>
      <c r="D30">
        <v>0.52535697249185354</v>
      </c>
      <c r="F30">
        <v>15.217391304347824</v>
      </c>
      <c r="G30">
        <v>2.1846914308175989</v>
      </c>
    </row>
    <row r="31" spans="1:9" x14ac:dyDescent="0.3">
      <c r="A31">
        <v>5</v>
      </c>
      <c r="B31">
        <v>2.4686094083223806</v>
      </c>
      <c r="C31">
        <v>-4.7164193364732654E-3</v>
      </c>
      <c r="D31">
        <v>-4.7479138083295812E-2</v>
      </c>
      <c r="F31">
        <v>19.565217391304348</v>
      </c>
      <c r="G31">
        <v>2.214843848047698</v>
      </c>
    </row>
    <row r="32" spans="1:9" x14ac:dyDescent="0.3">
      <c r="A32">
        <v>6</v>
      </c>
      <c r="B32">
        <v>2.2464357702780151</v>
      </c>
      <c r="C32">
        <v>-1.5986848899741002E-2</v>
      </c>
      <c r="D32">
        <v>-0.16093603055133926</v>
      </c>
      <c r="F32">
        <v>23.913043478260871</v>
      </c>
      <c r="G32">
        <v>2.2304489213782741</v>
      </c>
    </row>
    <row r="33" spans="1:7" x14ac:dyDescent="0.3">
      <c r="A33">
        <v>7</v>
      </c>
      <c r="B33">
        <v>2.4104720564712161</v>
      </c>
      <c r="C33">
        <v>-9.0715156896719051E-3</v>
      </c>
      <c r="D33">
        <v>-9.1320918545970811E-2</v>
      </c>
      <c r="F33">
        <v>28.260869565217391</v>
      </c>
      <c r="G33">
        <v>2.2380461031287955</v>
      </c>
    </row>
    <row r="34" spans="1:7" x14ac:dyDescent="0.3">
      <c r="A34">
        <v>8</v>
      </c>
      <c r="B34">
        <v>2.8071825555478198</v>
      </c>
      <c r="C34">
        <v>-9.1179211913020808E-2</v>
      </c>
      <c r="D34">
        <v>-0.91788072346881844</v>
      </c>
      <c r="F34">
        <v>32.608695652173907</v>
      </c>
      <c r="G34">
        <v>2.2833012287035497</v>
      </c>
    </row>
    <row r="35" spans="1:7" x14ac:dyDescent="0.3">
      <c r="A35">
        <v>9</v>
      </c>
      <c r="B35">
        <v>2.1996224461280072</v>
      </c>
      <c r="C35">
        <v>1.5221401919690791E-2</v>
      </c>
      <c r="D35">
        <v>0.15323044708461953</v>
      </c>
      <c r="F35">
        <v>36.95652173913043</v>
      </c>
      <c r="G35">
        <v>2.2900346113625178</v>
      </c>
    </row>
    <row r="36" spans="1:7" x14ac:dyDescent="0.3">
      <c r="A36">
        <v>10</v>
      </c>
      <c r="B36">
        <v>2.2183477757880103</v>
      </c>
      <c r="C36">
        <v>-8.8014007293004237E-2</v>
      </c>
      <c r="D36">
        <v>-0.88601731682609475</v>
      </c>
      <c r="F36">
        <v>41.304347826086953</v>
      </c>
      <c r="G36">
        <v>2.2922560713564759</v>
      </c>
    </row>
    <row r="37" spans="1:7" x14ac:dyDescent="0.3">
      <c r="A37">
        <v>11</v>
      </c>
      <c r="B37">
        <v>2.1902597812980056</v>
      </c>
      <c r="C37">
        <v>-5.5683504804067141E-3</v>
      </c>
      <c r="D37">
        <v>-5.6055338275563353E-2</v>
      </c>
      <c r="F37">
        <v>45.652173913043477</v>
      </c>
      <c r="G37">
        <v>2.2966651902615309</v>
      </c>
    </row>
    <row r="38" spans="1:7" x14ac:dyDescent="0.3">
      <c r="A38">
        <v>12</v>
      </c>
      <c r="B38">
        <v>2.3240570584618738</v>
      </c>
      <c r="C38">
        <v>0.18379881323395697</v>
      </c>
      <c r="D38">
        <v>1.8502615247961225</v>
      </c>
      <c r="F38">
        <v>49.999999999999993</v>
      </c>
      <c r="G38">
        <v>2.3222192947339191</v>
      </c>
    </row>
    <row r="39" spans="1:7" x14ac:dyDescent="0.3">
      <c r="A39">
        <v>13</v>
      </c>
      <c r="B39">
        <v>2.5693828607236422</v>
      </c>
      <c r="C39">
        <v>-9.5166596647386914E-2</v>
      </c>
      <c r="D39">
        <v>-0.95802083334627419</v>
      </c>
      <c r="F39">
        <v>54.347826086956516</v>
      </c>
      <c r="G39">
        <v>2.4014005407815442</v>
      </c>
    </row>
    <row r="40" spans="1:7" x14ac:dyDescent="0.3">
      <c r="A40">
        <v>14</v>
      </c>
      <c r="B40">
        <v>2.1672324225593469</v>
      </c>
      <c r="C40">
        <v>-4.3380781592261108E-2</v>
      </c>
      <c r="D40">
        <v>-0.43670462112056463</v>
      </c>
      <c r="F40">
        <v>58.695652173913039</v>
      </c>
      <c r="G40">
        <v>2.403120521175818</v>
      </c>
    </row>
    <row r="41" spans="1:7" x14ac:dyDescent="0.3">
      <c r="A41">
        <v>15</v>
      </c>
      <c r="B41">
        <v>2.3665683535332263</v>
      </c>
      <c r="C41">
        <v>-8.3267124829676575E-2</v>
      </c>
      <c r="D41">
        <v>-0.83823151326138512</v>
      </c>
      <c r="F41">
        <v>63.043478260869556</v>
      </c>
      <c r="G41">
        <v>2.4638929889859074</v>
      </c>
    </row>
    <row r="42" spans="1:7" x14ac:dyDescent="0.3">
      <c r="A42">
        <v>16</v>
      </c>
      <c r="B42">
        <v>2.1926004475055061</v>
      </c>
      <c r="C42">
        <v>0.10406474275602484</v>
      </c>
      <c r="D42">
        <v>1.0475964791142927</v>
      </c>
      <c r="F42">
        <v>67.391304347826093</v>
      </c>
      <c r="G42">
        <v>2.4638929889859074</v>
      </c>
    </row>
    <row r="43" spans="1:7" x14ac:dyDescent="0.3">
      <c r="A43">
        <v>17</v>
      </c>
      <c r="B43">
        <v>2.8427966574754149</v>
      </c>
      <c r="C43">
        <v>0.15327699700986042</v>
      </c>
      <c r="D43">
        <v>1.5430052306302882</v>
      </c>
      <c r="F43">
        <v>71.739130434782609</v>
      </c>
      <c r="G43">
        <v>2.4742162640762553</v>
      </c>
    </row>
    <row r="44" spans="1:7" x14ac:dyDescent="0.3">
      <c r="A44">
        <v>18</v>
      </c>
      <c r="B44">
        <v>3.0948203803547996</v>
      </c>
      <c r="C44">
        <v>4.4408920985006262E-16</v>
      </c>
      <c r="D44">
        <v>4.4705467032410404E-15</v>
      </c>
      <c r="F44">
        <v>76.086956521739125</v>
      </c>
      <c r="G44">
        <v>2.5078558716958308</v>
      </c>
    </row>
    <row r="45" spans="1:7" x14ac:dyDescent="0.3">
      <c r="A45">
        <v>19</v>
      </c>
      <c r="B45">
        <v>2.8787301034500401</v>
      </c>
      <c r="C45">
        <v>5.3236011278132711E-2</v>
      </c>
      <c r="D45">
        <v>0.53591501309728451</v>
      </c>
      <c r="F45">
        <v>80.434782608695656</v>
      </c>
      <c r="G45">
        <v>2.5854607295085006</v>
      </c>
    </row>
    <row r="46" spans="1:7" x14ac:dyDescent="0.3">
      <c r="A46">
        <v>20</v>
      </c>
      <c r="B46">
        <v>2.5583133308800861</v>
      </c>
      <c r="C46">
        <v>-9.4420341894178694E-2</v>
      </c>
      <c r="D46">
        <v>-0.95050845373259396</v>
      </c>
      <c r="F46">
        <v>84.782608695652172</v>
      </c>
      <c r="G46">
        <v>2.716003343634799</v>
      </c>
    </row>
    <row r="47" spans="1:7" x14ac:dyDescent="0.3">
      <c r="A47">
        <v>21</v>
      </c>
      <c r="B47">
        <v>2.1779874952559855</v>
      </c>
      <c r="C47">
        <v>-2.265145779092359E-2</v>
      </c>
      <c r="D47">
        <v>-0.22802715694219824</v>
      </c>
      <c r="F47">
        <v>89.130434782608702</v>
      </c>
      <c r="G47">
        <v>2.9319661147281728</v>
      </c>
    </row>
    <row r="48" spans="1:7" x14ac:dyDescent="0.3">
      <c r="A48">
        <v>22</v>
      </c>
      <c r="B48">
        <v>2.2792050971830209</v>
      </c>
      <c r="C48">
        <v>0.12391542399279709</v>
      </c>
      <c r="D48">
        <v>1.2474288452060138</v>
      </c>
      <c r="F48">
        <v>93.478260869565219</v>
      </c>
      <c r="G48">
        <v>2.9960736544852753</v>
      </c>
    </row>
    <row r="49" spans="1:7" ht="15" thickBot="1" x14ac:dyDescent="0.35">
      <c r="A49" s="16">
        <v>23</v>
      </c>
      <c r="B49" s="16">
        <v>2.3820047586448658</v>
      </c>
      <c r="C49" s="16">
        <v>0.20345597086363476</v>
      </c>
      <c r="D49" s="16">
        <v>2.0481457320393379</v>
      </c>
      <c r="F49" s="16">
        <v>97.826086956521735</v>
      </c>
      <c r="G49" s="16">
        <v>3.0948203803548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6FA2-0291-4962-A99E-39A2D55DC809}">
  <dimension ref="A1:I49"/>
  <sheetViews>
    <sheetView zoomScale="61" workbookViewId="0">
      <selection sqref="A1:AC60"/>
    </sheetView>
  </sheetViews>
  <sheetFormatPr defaultRowHeight="14.4" x14ac:dyDescent="0.3"/>
  <cols>
    <col min="1" max="1" width="17.44140625" bestFit="1" customWidth="1"/>
    <col min="2" max="2" width="21.21875" bestFit="1" customWidth="1"/>
    <col min="3" max="3" width="14.33203125" bestFit="1" customWidth="1"/>
  </cols>
  <sheetData>
    <row r="1" spans="1:9" x14ac:dyDescent="0.3">
      <c r="A1" t="s">
        <v>40</v>
      </c>
    </row>
    <row r="2" spans="1:9" ht="15" thickBot="1" x14ac:dyDescent="0.35"/>
    <row r="3" spans="1:9" x14ac:dyDescent="0.3">
      <c r="A3" s="15" t="s">
        <v>41</v>
      </c>
      <c r="B3" s="15"/>
    </row>
    <row r="4" spans="1:9" x14ac:dyDescent="0.3">
      <c r="A4" t="s">
        <v>42</v>
      </c>
      <c r="B4">
        <v>0.83720825049213266</v>
      </c>
    </row>
    <row r="5" spans="1:9" x14ac:dyDescent="0.3">
      <c r="A5" t="s">
        <v>43</v>
      </c>
      <c r="B5">
        <v>0.70091765469209755</v>
      </c>
    </row>
    <row r="6" spans="1:9" x14ac:dyDescent="0.3">
      <c r="A6" t="s">
        <v>44</v>
      </c>
      <c r="B6">
        <v>0.65369412648558656</v>
      </c>
    </row>
    <row r="7" spans="1:9" x14ac:dyDescent="0.3">
      <c r="A7" t="s">
        <v>45</v>
      </c>
      <c r="B7">
        <v>0.1033097387293541</v>
      </c>
    </row>
    <row r="8" spans="1:9" ht="15" thickBot="1" x14ac:dyDescent="0.35">
      <c r="A8" s="16" t="s">
        <v>46</v>
      </c>
      <c r="B8" s="16">
        <v>23</v>
      </c>
    </row>
    <row r="10" spans="1:9" ht="15" thickBot="1" x14ac:dyDescent="0.35">
      <c r="A10" t="s">
        <v>47</v>
      </c>
    </row>
    <row r="11" spans="1:9" x14ac:dyDescent="0.3">
      <c r="A11" s="17"/>
      <c r="B11" s="17" t="s">
        <v>48</v>
      </c>
      <c r="C11" s="17" t="s">
        <v>49</v>
      </c>
      <c r="D11" s="17" t="s">
        <v>50</v>
      </c>
      <c r="E11" s="17" t="s">
        <v>51</v>
      </c>
      <c r="F11" s="17" t="s">
        <v>52</v>
      </c>
    </row>
    <row r="12" spans="1:9" x14ac:dyDescent="0.3">
      <c r="A12" t="s">
        <v>53</v>
      </c>
      <c r="B12">
        <v>3</v>
      </c>
      <c r="C12">
        <v>0.47523930152489857</v>
      </c>
      <c r="D12">
        <v>0.15841310050829951</v>
      </c>
      <c r="E12">
        <v>14.842551611708227</v>
      </c>
      <c r="F12">
        <v>3.2308034255335666E-5</v>
      </c>
    </row>
    <row r="13" spans="1:9" x14ac:dyDescent="0.3">
      <c r="A13" t="s">
        <v>54</v>
      </c>
      <c r="B13">
        <v>19</v>
      </c>
      <c r="C13">
        <v>0.20278514021022073</v>
      </c>
      <c r="D13">
        <v>1.0672902116327408E-2</v>
      </c>
    </row>
    <row r="14" spans="1:9" ht="15" thickBot="1" x14ac:dyDescent="0.35">
      <c r="A14" s="16" t="s">
        <v>55</v>
      </c>
      <c r="B14" s="16">
        <v>22</v>
      </c>
      <c r="C14" s="16">
        <v>0.67802444173511933</v>
      </c>
      <c r="D14" s="16"/>
      <c r="E14" s="16"/>
      <c r="F14" s="16"/>
    </row>
    <row r="15" spans="1:9" ht="15" thickBot="1" x14ac:dyDescent="0.35"/>
    <row r="16" spans="1:9" x14ac:dyDescent="0.3">
      <c r="A16" s="17"/>
      <c r="B16" s="17" t="s">
        <v>56</v>
      </c>
      <c r="C16" s="17" t="s">
        <v>45</v>
      </c>
      <c r="D16" s="17" t="s">
        <v>57</v>
      </c>
      <c r="E16" s="17" t="s">
        <v>58</v>
      </c>
      <c r="F16" s="17" t="s">
        <v>59</v>
      </c>
      <c r="G16" s="17" t="s">
        <v>60</v>
      </c>
      <c r="H16" s="17" t="s">
        <v>61</v>
      </c>
      <c r="I16" s="17" t="s">
        <v>62</v>
      </c>
    </row>
    <row r="17" spans="1:9" x14ac:dyDescent="0.3">
      <c r="A17" t="s">
        <v>63</v>
      </c>
      <c r="B17">
        <v>-0.15180757811046194</v>
      </c>
      <c r="C17">
        <v>0.37689488262185922</v>
      </c>
      <c r="D17">
        <v>-0.40278492786746417</v>
      </c>
      <c r="E17">
        <v>0.69160244808395488</v>
      </c>
      <c r="F17">
        <v>-0.94065763342140973</v>
      </c>
      <c r="G17">
        <v>0.63704247720048579</v>
      </c>
      <c r="H17">
        <v>-0.94065763342140973</v>
      </c>
      <c r="I17">
        <v>0.63704247720048579</v>
      </c>
    </row>
    <row r="18" spans="1:9" x14ac:dyDescent="0.3">
      <c r="A18" t="s">
        <v>2</v>
      </c>
      <c r="B18">
        <v>1.0211166793562672</v>
      </c>
      <c r="C18">
        <v>0.17391575139524654</v>
      </c>
      <c r="D18">
        <v>5.8713294866296755</v>
      </c>
      <c r="E18">
        <v>1.1811576699937614E-5</v>
      </c>
      <c r="F18">
        <v>0.65710682824552058</v>
      </c>
      <c r="G18">
        <v>1.3851265304670137</v>
      </c>
      <c r="H18">
        <v>0.65710682824552058</v>
      </c>
      <c r="I18">
        <v>1.3851265304670137</v>
      </c>
    </row>
    <row r="19" spans="1:9" x14ac:dyDescent="0.3">
      <c r="A19" t="s">
        <v>6</v>
      </c>
      <c r="B19">
        <v>-1.7757860930544319E-2</v>
      </c>
      <c r="C19">
        <v>5.4051061827931996E-3</v>
      </c>
      <c r="D19">
        <v>-3.2853861385878602</v>
      </c>
      <c r="E19">
        <v>3.8913284438382386E-3</v>
      </c>
      <c r="F19">
        <v>-2.9070878187761565E-2</v>
      </c>
      <c r="G19">
        <v>-6.4448436733270751E-3</v>
      </c>
      <c r="H19">
        <v>-2.9070878187761565E-2</v>
      </c>
      <c r="I19">
        <v>-6.4448436733270751E-3</v>
      </c>
    </row>
    <row r="20" spans="1:9" ht="15" thickBot="1" x14ac:dyDescent="0.35">
      <c r="A20" s="16" t="s">
        <v>3</v>
      </c>
      <c r="B20" s="16">
        <v>-0.19930678823954209</v>
      </c>
      <c r="C20" s="16">
        <v>9.7416833084031165E-2</v>
      </c>
      <c r="D20" s="16">
        <v>-2.0459173423100427</v>
      </c>
      <c r="E20" s="16">
        <v>5.4859785203772042E-2</v>
      </c>
      <c r="F20" s="16">
        <v>-0.40320256318869852</v>
      </c>
      <c r="G20" s="16">
        <v>4.5889867096143566E-3</v>
      </c>
      <c r="H20" s="16">
        <v>-0.40320256318869852</v>
      </c>
      <c r="I20" s="16">
        <v>4.5889867096143566E-3</v>
      </c>
    </row>
    <row r="24" spans="1:9" x14ac:dyDescent="0.3">
      <c r="A24" t="s">
        <v>64</v>
      </c>
      <c r="F24" t="s">
        <v>65</v>
      </c>
    </row>
    <row r="25" spans="1:9" ht="15" thickBot="1" x14ac:dyDescent="0.35"/>
    <row r="26" spans="1:9" x14ac:dyDescent="0.3">
      <c r="A26" s="17" t="s">
        <v>66</v>
      </c>
      <c r="B26" s="17" t="s">
        <v>67</v>
      </c>
      <c r="C26" s="17" t="s">
        <v>68</v>
      </c>
      <c r="D26" s="17" t="s">
        <v>69</v>
      </c>
      <c r="F26" s="17" t="s">
        <v>70</v>
      </c>
      <c r="G26" s="17" t="s">
        <v>19</v>
      </c>
    </row>
    <row r="27" spans="1:9" x14ac:dyDescent="0.3">
      <c r="A27">
        <v>1</v>
      </c>
      <c r="B27">
        <v>1.884888573935027</v>
      </c>
      <c r="C27">
        <v>8.3594374618908063E-2</v>
      </c>
      <c r="D27">
        <v>0.87070357942122212</v>
      </c>
      <c r="F27">
        <v>2.1739130434782608</v>
      </c>
      <c r="G27">
        <v>1.6901960800285136</v>
      </c>
    </row>
    <row r="28" spans="1:9" x14ac:dyDescent="0.3">
      <c r="A28">
        <v>2</v>
      </c>
      <c r="B28">
        <v>1.9402432766796849</v>
      </c>
      <c r="C28">
        <v>9.3180478807264988E-2</v>
      </c>
      <c r="D28">
        <v>0.97055067161562003</v>
      </c>
      <c r="F28">
        <v>6.5217391304347823</v>
      </c>
      <c r="G28">
        <v>1.8976270912904414</v>
      </c>
    </row>
    <row r="29" spans="1:9" x14ac:dyDescent="0.3">
      <c r="A29">
        <v>3</v>
      </c>
      <c r="B29">
        <v>2.0800377942716861</v>
      </c>
      <c r="C29">
        <v>0.11029390389860527</v>
      </c>
      <c r="D29">
        <v>1.1488009492343794</v>
      </c>
      <c r="F29">
        <v>10.869565217391305</v>
      </c>
      <c r="G29">
        <v>1.9030899869919435</v>
      </c>
    </row>
    <row r="30" spans="1:9" x14ac:dyDescent="0.3">
      <c r="A30">
        <v>4</v>
      </c>
      <c r="B30">
        <v>2.0773863894209357</v>
      </c>
      <c r="C30">
        <v>-6.4549164715763663E-2</v>
      </c>
      <c r="D30">
        <v>-0.67233218769667047</v>
      </c>
      <c r="F30">
        <v>15.217391304347824</v>
      </c>
      <c r="G30">
        <v>1.919078092376074</v>
      </c>
    </row>
    <row r="31" spans="1:9" x14ac:dyDescent="0.3">
      <c r="A31">
        <v>5</v>
      </c>
      <c r="B31">
        <v>2.2575674835087498</v>
      </c>
      <c r="C31">
        <v>6.0495851454011706E-2</v>
      </c>
      <c r="D31">
        <v>0.63011362476570654</v>
      </c>
      <c r="F31">
        <v>19.565217391304348</v>
      </c>
      <c r="G31">
        <v>1.9590413923210936</v>
      </c>
    </row>
    <row r="32" spans="1:9" x14ac:dyDescent="0.3">
      <c r="A32">
        <v>6</v>
      </c>
      <c r="B32">
        <v>2.0014359914472788</v>
      </c>
      <c r="C32">
        <v>1.1401233257893217E-2</v>
      </c>
      <c r="D32">
        <v>0.11875314161652349</v>
      </c>
      <c r="F32">
        <v>23.913043478260871</v>
      </c>
      <c r="G32">
        <v>1.968482948553935</v>
      </c>
    </row>
    <row r="33" spans="1:7" x14ac:dyDescent="0.3">
      <c r="A33">
        <v>7</v>
      </c>
      <c r="B33">
        <v>2.158239680452378</v>
      </c>
      <c r="C33">
        <v>5.3947923951579657E-2</v>
      </c>
      <c r="D33">
        <v>0.56191162026301744</v>
      </c>
      <c r="F33">
        <v>28.260869565217391</v>
      </c>
      <c r="G33">
        <v>2.012837224705172</v>
      </c>
    </row>
    <row r="34" spans="1:7" x14ac:dyDescent="0.3">
      <c r="A34">
        <v>8</v>
      </c>
      <c r="B34">
        <v>2.3729386842348021</v>
      </c>
      <c r="C34">
        <v>6.1630219799396535E-2</v>
      </c>
      <c r="D34">
        <v>0.64192899611349696</v>
      </c>
      <c r="F34">
        <v>32.608695652173907</v>
      </c>
      <c r="G34">
        <v>2.012837224705172</v>
      </c>
    </row>
    <row r="35" spans="1:7" x14ac:dyDescent="0.3">
      <c r="A35">
        <v>9</v>
      </c>
      <c r="B35">
        <v>1.98550139078685</v>
      </c>
      <c r="C35">
        <v>-6.6423298410775988E-2</v>
      </c>
      <c r="D35">
        <v>-0.69185281840896784</v>
      </c>
      <c r="F35">
        <v>36.95652173913043</v>
      </c>
      <c r="G35">
        <v>2.0170333392987803</v>
      </c>
    </row>
    <row r="36" spans="1:7" x14ac:dyDescent="0.3">
      <c r="A36">
        <v>10</v>
      </c>
      <c r="B36">
        <v>1.8992067389818714</v>
      </c>
      <c r="C36">
        <v>5.9834653339222221E-2</v>
      </c>
      <c r="D36">
        <v>0.62322670722037754</v>
      </c>
      <c r="F36">
        <v>41.304347826086953</v>
      </c>
      <c r="G36">
        <v>2.0334237554869499</v>
      </c>
    </row>
    <row r="37" spans="1:7" x14ac:dyDescent="0.3">
      <c r="A37">
        <v>11</v>
      </c>
      <c r="B37">
        <v>1.9547122546302866</v>
      </c>
      <c r="C37">
        <v>-5.7085163339845257E-2</v>
      </c>
      <c r="D37">
        <v>-0.59458852678115348</v>
      </c>
      <c r="F37">
        <v>45.652173913043477</v>
      </c>
      <c r="G37">
        <v>2.0569048513364727</v>
      </c>
    </row>
    <row r="38" spans="1:7" x14ac:dyDescent="0.3">
      <c r="A38">
        <v>12</v>
      </c>
      <c r="B38">
        <v>2.2491851335248025</v>
      </c>
      <c r="C38">
        <v>-0.18472714429788395</v>
      </c>
      <c r="D38">
        <v>-1.9240838452309861</v>
      </c>
      <c r="F38">
        <v>49.999999999999993</v>
      </c>
      <c r="G38">
        <v>2.0644579892269186</v>
      </c>
    </row>
    <row r="39" spans="1:7" x14ac:dyDescent="0.3">
      <c r="A39">
        <v>13</v>
      </c>
      <c r="B39">
        <v>2.0372565597920107</v>
      </c>
      <c r="C39">
        <v>4.1924686255613963E-2</v>
      </c>
      <c r="D39">
        <v>0.43667979520499967</v>
      </c>
      <c r="F39">
        <v>54.347826086956516</v>
      </c>
      <c r="G39">
        <v>2.0681858617461617</v>
      </c>
    </row>
    <row r="40" spans="1:7" x14ac:dyDescent="0.3">
      <c r="A40">
        <v>14</v>
      </c>
      <c r="B40">
        <v>1.8570720085843089</v>
      </c>
      <c r="C40">
        <v>-0.16687592855579525</v>
      </c>
      <c r="D40">
        <v>-1.7381488763468307</v>
      </c>
      <c r="F40">
        <v>58.695652173913039</v>
      </c>
      <c r="G40">
        <v>2.0791812460476247</v>
      </c>
    </row>
    <row r="41" spans="1:7" x14ac:dyDescent="0.3">
      <c r="A41">
        <v>15</v>
      </c>
      <c r="B41">
        <v>1.9843729202774039</v>
      </c>
      <c r="C41">
        <v>7.2531931059068855E-2</v>
      </c>
      <c r="D41">
        <v>0.75547920877895913</v>
      </c>
      <c r="F41">
        <v>63.043478260869556</v>
      </c>
      <c r="G41">
        <v>2.1335389083702174</v>
      </c>
    </row>
    <row r="42" spans="1:7" x14ac:dyDescent="0.3">
      <c r="A42">
        <v>16</v>
      </c>
      <c r="B42">
        <v>2.0690505280487117</v>
      </c>
      <c r="C42">
        <v>-0.16596054105676816</v>
      </c>
      <c r="D42">
        <v>-1.7286143690837061</v>
      </c>
      <c r="F42">
        <v>67.391304347826093</v>
      </c>
      <c r="G42">
        <v>2.1903316981702914</v>
      </c>
    </row>
    <row r="43" spans="1:7" x14ac:dyDescent="0.3">
      <c r="A43">
        <v>17</v>
      </c>
      <c r="B43">
        <v>2.1932484478390113</v>
      </c>
      <c r="C43">
        <v>-5.9709539468793871E-2</v>
      </c>
      <c r="D43">
        <v>-0.62192354423466423</v>
      </c>
      <c r="F43">
        <v>71.739130434782609</v>
      </c>
      <c r="G43">
        <v>2.2121876044039577</v>
      </c>
    </row>
    <row r="44" spans="1:7" x14ac:dyDescent="0.3">
      <c r="A44">
        <v>18</v>
      </c>
      <c r="B44">
        <v>2.3118382375867479</v>
      </c>
      <c r="C44">
        <v>-8.6528955860885048E-2</v>
      </c>
      <c r="D44">
        <v>-0.90126963608640109</v>
      </c>
      <c r="F44">
        <v>76.086956521739125</v>
      </c>
      <c r="G44">
        <v>2.2253092817258628</v>
      </c>
    </row>
    <row r="45" spans="1:7" x14ac:dyDescent="0.3">
      <c r="A45">
        <v>19</v>
      </c>
      <c r="B45">
        <v>2.2698500571648932</v>
      </c>
      <c r="C45">
        <v>9.5637927726006655E-2</v>
      </c>
      <c r="D45">
        <v>0.99614700605256912</v>
      </c>
      <c r="F45">
        <v>80.434782608695656</v>
      </c>
      <c r="G45">
        <v>2.2329961103921536</v>
      </c>
    </row>
    <row r="46" spans="1:7" x14ac:dyDescent="0.3">
      <c r="A46">
        <v>20</v>
      </c>
      <c r="B46">
        <v>2.1865360397865725</v>
      </c>
      <c r="C46">
        <v>0.12733118058258075</v>
      </c>
      <c r="D46">
        <v>1.3262580790945484</v>
      </c>
      <c r="F46">
        <v>84.782608695652172</v>
      </c>
      <c r="G46">
        <v>2.3138672203691533</v>
      </c>
    </row>
    <row r="47" spans="1:7" x14ac:dyDescent="0.3">
      <c r="A47">
        <v>21</v>
      </c>
      <c r="B47">
        <v>1.9780105556405796</v>
      </c>
      <c r="C47">
        <v>3.9022783658200666E-2</v>
      </c>
      <c r="D47">
        <v>0.40645411327103864</v>
      </c>
      <c r="F47">
        <v>89.130434782608702</v>
      </c>
      <c r="G47">
        <v>2.3180633349627615</v>
      </c>
    </row>
    <row r="48" spans="1:7" x14ac:dyDescent="0.3">
      <c r="A48">
        <v>22</v>
      </c>
      <c r="B48">
        <v>2.1777538420516809</v>
      </c>
      <c r="C48">
        <v>-0.10956798030551917</v>
      </c>
      <c r="D48">
        <v>-1.1412398630516327</v>
      </c>
      <c r="F48">
        <v>93.478260869565219</v>
      </c>
      <c r="G48">
        <v>2.3654879848908998</v>
      </c>
    </row>
    <row r="49" spans="1:7" ht="15" thickBot="1" x14ac:dyDescent="0.35">
      <c r="A49" s="16">
        <v>23</v>
      </c>
      <c r="B49" s="16">
        <v>2.1823955427884822</v>
      </c>
      <c r="C49" s="16">
        <v>5.0600567603671376E-2</v>
      </c>
      <c r="D49" s="16">
        <v>0.52704617426848699</v>
      </c>
      <c r="F49" s="16">
        <v>97.826086956521735</v>
      </c>
      <c r="G49" s="16">
        <v>2.4345689040341987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64A9-08DE-48A8-ACFB-C4F54111B3E1}">
  <dimension ref="A1:I48"/>
  <sheetViews>
    <sheetView workbookViewId="0">
      <selection activeCell="T19" sqref="T19"/>
    </sheetView>
  </sheetViews>
  <sheetFormatPr defaultRowHeight="14.4" x14ac:dyDescent="0.3"/>
  <sheetData>
    <row r="1" spans="1:9" x14ac:dyDescent="0.3">
      <c r="A1" t="s">
        <v>40</v>
      </c>
    </row>
    <row r="2" spans="1:9" ht="15" thickBot="1" x14ac:dyDescent="0.35"/>
    <row r="3" spans="1:9" x14ac:dyDescent="0.3">
      <c r="A3" s="15" t="s">
        <v>41</v>
      </c>
      <c r="B3" s="15"/>
    </row>
    <row r="4" spans="1:9" x14ac:dyDescent="0.3">
      <c r="A4" t="s">
        <v>42</v>
      </c>
      <c r="B4">
        <v>0.81635931877569123</v>
      </c>
    </row>
    <row r="5" spans="1:9" x14ac:dyDescent="0.3">
      <c r="A5" t="s">
        <v>43</v>
      </c>
      <c r="B5">
        <v>0.66644253735191072</v>
      </c>
      <c r="D5">
        <f>10^(B17+B19*21)</f>
        <v>315.50571593098874</v>
      </c>
    </row>
    <row r="6" spans="1:9" x14ac:dyDescent="0.3">
      <c r="A6" t="s">
        <v>44</v>
      </c>
      <c r="B6">
        <v>0.63308679108710186</v>
      </c>
    </row>
    <row r="7" spans="1:9" x14ac:dyDescent="0.3">
      <c r="A7" t="s">
        <v>45</v>
      </c>
      <c r="B7">
        <v>0.16656177135937056</v>
      </c>
    </row>
    <row r="8" spans="1:9" ht="15" thickBot="1" x14ac:dyDescent="0.35">
      <c r="A8" s="16" t="s">
        <v>46</v>
      </c>
      <c r="B8" s="16">
        <v>23</v>
      </c>
    </row>
    <row r="10" spans="1:9" ht="15" thickBot="1" x14ac:dyDescent="0.35">
      <c r="A10" t="s">
        <v>47</v>
      </c>
    </row>
    <row r="11" spans="1:9" x14ac:dyDescent="0.3">
      <c r="A11" s="17"/>
      <c r="B11" s="17" t="s">
        <v>48</v>
      </c>
      <c r="C11" s="17" t="s">
        <v>49</v>
      </c>
      <c r="D11" s="17" t="s">
        <v>50</v>
      </c>
      <c r="E11" s="17" t="s">
        <v>51</v>
      </c>
      <c r="F11" s="17" t="s">
        <v>52</v>
      </c>
    </row>
    <row r="12" spans="1:9" x14ac:dyDescent="0.3">
      <c r="A12" t="s">
        <v>53</v>
      </c>
      <c r="B12">
        <v>2</v>
      </c>
      <c r="C12">
        <v>1.1085944627793687</v>
      </c>
      <c r="D12">
        <v>0.55429723138968434</v>
      </c>
      <c r="E12">
        <v>19.979841915724808</v>
      </c>
      <c r="F12">
        <v>1.7049302455826852E-5</v>
      </c>
    </row>
    <row r="13" spans="1:9" x14ac:dyDescent="0.3">
      <c r="A13" t="s">
        <v>54</v>
      </c>
      <c r="B13">
        <v>20</v>
      </c>
      <c r="C13">
        <v>0.55485647356742474</v>
      </c>
      <c r="D13">
        <v>2.7742823678371237E-2</v>
      </c>
    </row>
    <row r="14" spans="1:9" ht="15" thickBot="1" x14ac:dyDescent="0.35">
      <c r="A14" s="16" t="s">
        <v>55</v>
      </c>
      <c r="B14" s="16">
        <v>22</v>
      </c>
      <c r="C14" s="16">
        <v>1.6634509363467935</v>
      </c>
      <c r="D14" s="16"/>
      <c r="E14" s="16"/>
      <c r="F14" s="16"/>
    </row>
    <row r="15" spans="1:9" ht="15" thickBot="1" x14ac:dyDescent="0.35"/>
    <row r="16" spans="1:9" x14ac:dyDescent="0.3">
      <c r="A16" s="17"/>
      <c r="B16" s="17" t="s">
        <v>56</v>
      </c>
      <c r="C16" s="17" t="s">
        <v>45</v>
      </c>
      <c r="D16" s="17" t="s">
        <v>57</v>
      </c>
      <c r="E16" s="17" t="s">
        <v>58</v>
      </c>
      <c r="F16" s="17" t="s">
        <v>59</v>
      </c>
      <c r="G16" s="17" t="s">
        <v>60</v>
      </c>
      <c r="H16" s="17" t="s">
        <v>61</v>
      </c>
      <c r="I16" s="17" t="s">
        <v>62</v>
      </c>
    </row>
    <row r="17" spans="1:9" x14ac:dyDescent="0.3">
      <c r="A17" t="s">
        <v>63</v>
      </c>
      <c r="B17">
        <v>1.8872481731819237</v>
      </c>
      <c r="C17">
        <v>0.11157605722522262</v>
      </c>
      <c r="D17">
        <v>16.914454768485015</v>
      </c>
      <c r="E17">
        <v>2.5762330869267627E-13</v>
      </c>
      <c r="F17">
        <v>1.6545045962200648</v>
      </c>
      <c r="G17">
        <v>2.1199917501437824</v>
      </c>
      <c r="H17">
        <v>1.6545045962200648</v>
      </c>
      <c r="I17">
        <v>2.1199917501437824</v>
      </c>
    </row>
    <row r="18" spans="1:9" x14ac:dyDescent="0.3">
      <c r="A18" t="s">
        <v>72</v>
      </c>
      <c r="B18">
        <v>0.18797377639927765</v>
      </c>
      <c r="C18">
        <v>0.20077073306494084</v>
      </c>
      <c r="D18">
        <v>0.93626084603912907</v>
      </c>
      <c r="E18">
        <v>0.36030754039745749</v>
      </c>
      <c r="F18">
        <v>-0.23082663405496107</v>
      </c>
      <c r="G18">
        <v>0.60677418685351636</v>
      </c>
      <c r="H18">
        <v>-0.23082663405496107</v>
      </c>
      <c r="I18">
        <v>0.60677418685351636</v>
      </c>
    </row>
    <row r="19" spans="1:9" ht="15" thickBot="1" x14ac:dyDescent="0.35">
      <c r="A19" s="16" t="s">
        <v>73</v>
      </c>
      <c r="B19" s="16">
        <v>2.9131383736388513E-2</v>
      </c>
      <c r="C19" s="16">
        <v>6.0599795909598575E-3</v>
      </c>
      <c r="D19" s="16">
        <v>4.8071752221486133</v>
      </c>
      <c r="E19" s="16">
        <v>1.0721249908606515E-4</v>
      </c>
      <c r="F19" s="16">
        <v>1.6490487818469103E-2</v>
      </c>
      <c r="G19" s="16">
        <v>4.1772279654307923E-2</v>
      </c>
      <c r="H19" s="16">
        <v>1.6490487818469103E-2</v>
      </c>
      <c r="I19" s="16">
        <v>4.1772279654307923E-2</v>
      </c>
    </row>
    <row r="23" spans="1:9" x14ac:dyDescent="0.3">
      <c r="A23" t="s">
        <v>64</v>
      </c>
      <c r="F23" t="s">
        <v>65</v>
      </c>
    </row>
    <row r="24" spans="1:9" ht="15" thickBot="1" x14ac:dyDescent="0.35"/>
    <row r="25" spans="1:9" x14ac:dyDescent="0.3">
      <c r="A25" s="17" t="s">
        <v>66</v>
      </c>
      <c r="B25" s="17" t="s">
        <v>74</v>
      </c>
      <c r="C25" s="17" t="s">
        <v>68</v>
      </c>
      <c r="D25" s="17" t="s">
        <v>69</v>
      </c>
      <c r="F25" s="17" t="s">
        <v>70</v>
      </c>
      <c r="G25" s="17" t="s">
        <v>75</v>
      </c>
    </row>
    <row r="26" spans="1:9" x14ac:dyDescent="0.3">
      <c r="A26">
        <v>1</v>
      </c>
      <c r="B26">
        <v>2.4990072316460825</v>
      </c>
      <c r="C26">
        <v>-0.26096112851728703</v>
      </c>
      <c r="D26">
        <v>-1.6432242427758064</v>
      </c>
      <c r="F26">
        <v>2.1739130434782608</v>
      </c>
      <c r="G26">
        <v>2.1238516409670858</v>
      </c>
    </row>
    <row r="27" spans="1:9" x14ac:dyDescent="0.3">
      <c r="A27">
        <v>2</v>
      </c>
      <c r="B27">
        <v>2.4990072316460825</v>
      </c>
      <c r="C27">
        <v>-0.20675116028960661</v>
      </c>
      <c r="D27">
        <v>-1.3018740405523754</v>
      </c>
      <c r="F27">
        <v>6.5217391304347823</v>
      </c>
      <c r="G27">
        <v>2.1303337684950061</v>
      </c>
    </row>
    <row r="28" spans="1:9" x14ac:dyDescent="0.3">
      <c r="A28">
        <v>3</v>
      </c>
      <c r="B28">
        <v>2.2659561617549744</v>
      </c>
      <c r="C28">
        <v>2.4078449607543462E-2</v>
      </c>
      <c r="D28">
        <v>0.15161756982113142</v>
      </c>
      <c r="F28">
        <v>10.869565217391305</v>
      </c>
      <c r="G28">
        <v>2.1553360374650619</v>
      </c>
    </row>
    <row r="29" spans="1:9" x14ac:dyDescent="0.3">
      <c r="A29">
        <v>4</v>
      </c>
      <c r="B29">
        <v>2.3242189292277513</v>
      </c>
      <c r="C29">
        <v>-1.9996344938322252E-3</v>
      </c>
      <c r="D29">
        <v>-1.2591330730462312E-2</v>
      </c>
      <c r="F29">
        <v>15.217391304347824</v>
      </c>
      <c r="G29">
        <v>2.1846914308175989</v>
      </c>
    </row>
    <row r="30" spans="1:9" x14ac:dyDescent="0.3">
      <c r="A30">
        <v>5</v>
      </c>
      <c r="B30">
        <v>2.2659561617549744</v>
      </c>
      <c r="C30">
        <v>0.19793682723093298</v>
      </c>
      <c r="D30">
        <v>1.2463718059927433</v>
      </c>
      <c r="F30">
        <v>19.565217391304348</v>
      </c>
      <c r="G30">
        <v>2.214843848047698</v>
      </c>
    </row>
    <row r="31" spans="1:9" x14ac:dyDescent="0.3">
      <c r="A31">
        <v>6</v>
      </c>
      <c r="B31">
        <v>2.2950875454913628</v>
      </c>
      <c r="C31">
        <v>-6.4638624113088738E-2</v>
      </c>
      <c r="D31">
        <v>-0.40701753079391706</v>
      </c>
      <c r="F31">
        <v>23.913043478260871</v>
      </c>
      <c r="G31">
        <v>2.2304489213782741</v>
      </c>
    </row>
    <row r="32" spans="1:9" x14ac:dyDescent="0.3">
      <c r="A32">
        <v>7</v>
      </c>
      <c r="B32">
        <v>2.3242189292277513</v>
      </c>
      <c r="C32">
        <v>7.7181611553792884E-2</v>
      </c>
      <c r="D32">
        <v>0.48599841640130043</v>
      </c>
      <c r="F32">
        <v>28.260869565217391</v>
      </c>
      <c r="G32">
        <v>2.2380461031287955</v>
      </c>
    </row>
    <row r="33" spans="1:7" x14ac:dyDescent="0.3">
      <c r="A33">
        <v>8</v>
      </c>
      <c r="B33">
        <v>2.4990072316460825</v>
      </c>
      <c r="C33">
        <v>0.21699611198871649</v>
      </c>
      <c r="D33">
        <v>1.3663846176398335</v>
      </c>
      <c r="F33">
        <v>32.608695652173907</v>
      </c>
      <c r="G33">
        <v>2.2833012287035497</v>
      </c>
    </row>
    <row r="34" spans="1:7" x14ac:dyDescent="0.3">
      <c r="A34">
        <v>9</v>
      </c>
      <c r="B34">
        <v>2.2950875454913628</v>
      </c>
      <c r="C34">
        <v>-8.0243697443664885E-2</v>
      </c>
      <c r="D34">
        <v>-0.50527980821734664</v>
      </c>
      <c r="F34">
        <v>36.95652173913043</v>
      </c>
      <c r="G34">
        <v>2.2900346113625178</v>
      </c>
    </row>
    <row r="35" spans="1:7" x14ac:dyDescent="0.3">
      <c r="A35">
        <v>10</v>
      </c>
      <c r="B35">
        <v>2.2950875454913628</v>
      </c>
      <c r="C35">
        <v>-0.16475377699635674</v>
      </c>
      <c r="D35">
        <v>-1.0374242401061595</v>
      </c>
      <c r="F35">
        <v>41.304347826086953</v>
      </c>
      <c r="G35">
        <v>2.2922560713564759</v>
      </c>
    </row>
    <row r="36" spans="1:7" x14ac:dyDescent="0.3">
      <c r="A36">
        <v>11</v>
      </c>
      <c r="B36">
        <v>2.2950875454913628</v>
      </c>
      <c r="C36">
        <v>-0.11039611467376398</v>
      </c>
      <c r="D36">
        <v>-0.69514403532390423</v>
      </c>
      <c r="F36">
        <v>45.652173913043477</v>
      </c>
      <c r="G36">
        <v>2.2966651902615309</v>
      </c>
    </row>
    <row r="37" spans="1:7" x14ac:dyDescent="0.3">
      <c r="A37">
        <v>12</v>
      </c>
      <c r="B37">
        <v>2.3533503129641398</v>
      </c>
      <c r="C37">
        <v>0.15450555873169103</v>
      </c>
      <c r="D37">
        <v>0.97289309405602697</v>
      </c>
      <c r="F37">
        <v>49.999999999999993</v>
      </c>
      <c r="G37">
        <v>2.3222192947339191</v>
      </c>
    </row>
    <row r="38" spans="1:7" x14ac:dyDescent="0.3">
      <c r="A38">
        <v>13</v>
      </c>
      <c r="B38">
        <v>2.6446641503280253</v>
      </c>
      <c r="C38">
        <v>-0.17044788625176999</v>
      </c>
      <c r="D38">
        <v>-1.073278999099085</v>
      </c>
      <c r="F38">
        <v>54.347826086956516</v>
      </c>
      <c r="G38">
        <v>2.4014005407815442</v>
      </c>
    </row>
    <row r="39" spans="1:7" x14ac:dyDescent="0.3">
      <c r="A39">
        <v>14</v>
      </c>
      <c r="B39">
        <v>2.3533503129641398</v>
      </c>
      <c r="C39">
        <v>-0.22949867199705398</v>
      </c>
      <c r="D39">
        <v>-1.4451109391390853</v>
      </c>
      <c r="F39">
        <v>58.695652173913039</v>
      </c>
      <c r="G39">
        <v>2.403120521175818</v>
      </c>
    </row>
    <row r="40" spans="1:7" x14ac:dyDescent="0.3">
      <c r="A40">
        <v>15</v>
      </c>
      <c r="B40">
        <v>2.4116130804369167</v>
      </c>
      <c r="C40">
        <v>-0.12831185173336701</v>
      </c>
      <c r="D40">
        <v>-0.8079561373821863</v>
      </c>
      <c r="F40">
        <v>63.043478260869556</v>
      </c>
      <c r="G40">
        <v>2.4638929889859074</v>
      </c>
    </row>
    <row r="41" spans="1:7" x14ac:dyDescent="0.3">
      <c r="A41">
        <v>16</v>
      </c>
      <c r="B41">
        <v>2.2950875454913628</v>
      </c>
      <c r="C41">
        <v>1.5776447701680851E-3</v>
      </c>
      <c r="D41">
        <v>9.9341390327292792E-3</v>
      </c>
      <c r="F41">
        <v>67.391304347826093</v>
      </c>
      <c r="G41">
        <v>2.4638929889859074</v>
      </c>
    </row>
    <row r="42" spans="1:7" x14ac:dyDescent="0.3">
      <c r="A42">
        <v>17</v>
      </c>
      <c r="B42">
        <v>2.9359779876919099</v>
      </c>
      <c r="C42">
        <v>6.0095666793365421E-2</v>
      </c>
      <c r="D42">
        <v>0.37841136387518898</v>
      </c>
      <c r="F42">
        <v>71.739130434782609</v>
      </c>
      <c r="G42">
        <v>2.4742162640762553</v>
      </c>
    </row>
    <row r="43" spans="1:7" x14ac:dyDescent="0.3">
      <c r="A43">
        <v>18</v>
      </c>
      <c r="B43">
        <v>3.0948203803547991</v>
      </c>
      <c r="C43">
        <v>8.8817841970012523E-16</v>
      </c>
      <c r="D43">
        <v>5.592696197529164E-15</v>
      </c>
      <c r="F43">
        <v>76.086956521739125</v>
      </c>
      <c r="G43">
        <v>2.5078558716958308</v>
      </c>
    </row>
    <row r="44" spans="1:7" x14ac:dyDescent="0.3">
      <c r="A44">
        <v>19</v>
      </c>
      <c r="B44">
        <v>2.7029269178008022</v>
      </c>
      <c r="C44">
        <v>0.22903919692737063</v>
      </c>
      <c r="D44">
        <v>1.4422177091099824</v>
      </c>
      <c r="F44">
        <v>80.434782608695656</v>
      </c>
      <c r="G44">
        <v>2.5854607295085006</v>
      </c>
    </row>
    <row r="45" spans="1:7" x14ac:dyDescent="0.3">
      <c r="A45">
        <v>20</v>
      </c>
      <c r="B45">
        <v>2.3824816967005287</v>
      </c>
      <c r="C45">
        <v>8.1411292285378689E-2</v>
      </c>
      <c r="D45">
        <v>0.51263193824738296</v>
      </c>
      <c r="F45">
        <v>84.782608695652172</v>
      </c>
      <c r="G45">
        <v>2.716003343634799</v>
      </c>
    </row>
    <row r="46" spans="1:7" x14ac:dyDescent="0.3">
      <c r="A46">
        <v>21</v>
      </c>
      <c r="B46">
        <v>2.2076933942821975</v>
      </c>
      <c r="C46">
        <v>-5.2357356817135603E-2</v>
      </c>
      <c r="D46">
        <v>-0.32968464881497123</v>
      </c>
      <c r="F46">
        <v>89.130434782608702</v>
      </c>
      <c r="G46">
        <v>2.9319661147281728</v>
      </c>
    </row>
    <row r="47" spans="1:7" x14ac:dyDescent="0.3">
      <c r="A47">
        <v>22</v>
      </c>
      <c r="B47">
        <v>2.2950875454913628</v>
      </c>
      <c r="C47">
        <v>0.10803297568445513</v>
      </c>
      <c r="D47">
        <v>0.68026378362379802</v>
      </c>
      <c r="F47">
        <v>93.478260869565219</v>
      </c>
      <c r="G47">
        <v>2.9960736544852753</v>
      </c>
    </row>
    <row r="48" spans="1:7" ht="15" thickBot="1" x14ac:dyDescent="0.35">
      <c r="A48" s="16">
        <v>23</v>
      </c>
      <c r="B48" s="16">
        <v>2.2659561617549744</v>
      </c>
      <c r="C48" s="16">
        <v>0.3195045677535262</v>
      </c>
      <c r="D48" s="16">
        <v>2.0118615151352714</v>
      </c>
      <c r="F48" s="16">
        <v>97.826086956521735</v>
      </c>
      <c r="G48" s="16">
        <v>3.0948203803548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task 2.5</vt:lpstr>
      <vt:lpstr>task 2.6</vt:lpstr>
      <vt:lpstr>MultiLogRegr2</vt:lpstr>
      <vt:lpstr>MultiLogRegr1stWeek</vt:lpstr>
      <vt:lpstr>MultLogRegr1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Daryna Antoniuk</cp:lastModifiedBy>
  <dcterms:created xsi:type="dcterms:W3CDTF">2015-06-05T18:17:20Z</dcterms:created>
  <dcterms:modified xsi:type="dcterms:W3CDTF">2025-12-07T18:33:12Z</dcterms:modified>
</cp:coreProperties>
</file>